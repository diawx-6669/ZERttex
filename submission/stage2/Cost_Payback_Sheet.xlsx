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Budget" sheetId="3" state="visible" r:id="rId3"/>
    <sheet xmlns:r="http://schemas.openxmlformats.org/officeDocument/2006/relationships" name="Payba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&quot; KZT&quot;"/>
    <numFmt numFmtId="165" formatCode="0.0%"/>
    <numFmt numFmtId="166" formatCode="0.000"/>
    <numFmt numFmtId="167" formatCode="0.0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i val="1"/>
      <color rgb="00666666"/>
    </font>
    <font>
      <i val="1"/>
      <color rgb="00555555"/>
    </font>
  </fonts>
  <fills count="5">
    <fill>
      <patternFill/>
    </fill>
    <fill>
      <patternFill patternType="gray125"/>
    </fill>
    <fill>
      <patternFill patternType="solid">
        <fgColor rgb="0012213F"/>
      </patternFill>
    </fill>
    <fill>
      <patternFill patternType="solid">
        <fgColor rgb="00FFF2CC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" fontId="0" fillId="0" borderId="1" pivotButton="0" quotePrefix="0" xfId="0"/>
    <xf numFmtId="1" fontId="3" fillId="4" borderId="1" pivotButton="0" quotePrefix="0" xfId="0"/>
    <xf numFmtId="0" fontId="5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9" fontId="0" fillId="0" borderId="0" pivotButton="0" quotePrefix="0" xfId="0"/>
    <xf numFmtId="9" fontId="0" fillId="3" borderId="0" pivotButton="0" quotePrefix="0" xfId="0"/>
    <xf numFmtId="164" fontId="0" fillId="3" borderId="0" pivotButton="0" quotePrefix="0" xfId="0"/>
    <xf numFmtId="3" fontId="0" fillId="3" borderId="0" pivotButton="0" quotePrefix="0" xfId="0"/>
    <xf numFmtId="2" fontId="0" fillId="3" borderId="0" pivotButton="0" quotePrefix="0" xfId="0"/>
    <xf numFmtId="0" fontId="3" fillId="0" borderId="0" pivotButton="0" quotePrefix="0" xfId="0"/>
    <xf numFmtId="165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9" customWidth="1" min="3" max="3"/>
    <col width="12" customWidth="1" min="4" max="4"/>
  </cols>
  <sheetData>
    <row r="1">
      <c r="A1" s="1" t="inlineStr">
        <is>
          <t>Saryarqa Go · Cost and payback summary (all values are formulas)</t>
        </is>
      </c>
    </row>
    <row r="3">
      <c r="A3" s="2" t="inlineStr">
        <is>
          <t>Result</t>
        </is>
      </c>
      <c r="B3" s="2" t="inlineStr">
        <is>
          <t>Base</t>
        </is>
      </c>
      <c r="C3" s="2" t="inlineStr">
        <is>
          <t>Worse case (−30%)</t>
        </is>
      </c>
      <c r="D3" s="2" t="inlineStr">
        <is>
          <t>Label</t>
        </is>
      </c>
    </row>
    <row r="4">
      <c r="A4" t="inlineStr">
        <is>
          <t>Total year-1 budget (KZT)</t>
        </is>
      </c>
      <c r="B4" s="3">
        <f>Budget!D12</f>
        <v/>
      </c>
      <c r="C4" s="3">
        <f>Budget!D12</f>
        <v/>
      </c>
      <c r="D4" t="inlineStr">
        <is>
          <t>Proposal</t>
        </is>
      </c>
    </row>
    <row r="5">
      <c r="A5" t="inlineStr">
        <is>
          <t>Budget cap (KZT)</t>
        </is>
      </c>
      <c r="B5" s="3">
        <f>Assumptions!B4</f>
        <v/>
      </c>
      <c r="C5" s="3">
        <f>Assumptions!B4</f>
        <v/>
      </c>
      <c r="D5" t="inlineStr">
        <is>
          <t>Case fact</t>
        </is>
      </c>
    </row>
    <row r="6">
      <c r="A6" t="inlineStr">
        <is>
          <t>Contribution per traveler (KZT)</t>
        </is>
      </c>
      <c r="B6" s="3">
        <f>Assumptions!B12</f>
        <v/>
      </c>
      <c r="C6" s="3">
        <f>Assumptions!B12</f>
        <v/>
      </c>
      <c r="D6" t="inlineStr">
        <is>
          <t>Calculated</t>
        </is>
      </c>
    </row>
    <row r="7">
      <c r="A7" t="inlineStr">
        <is>
          <t>Extra foreign travelers per year at month 24</t>
        </is>
      </c>
      <c r="B7" s="3">
        <f>Assumptions!B26</f>
        <v/>
      </c>
      <c r="C7" s="3">
        <f>Assumptions!B26*Assumptions!B18</f>
        <v/>
      </c>
      <c r="D7" t="inlineStr">
        <is>
          <t>Calculated</t>
        </is>
      </c>
    </row>
    <row r="8">
      <c r="A8" t="inlineStr">
        <is>
          <t>Break-even travelers (cap ÷ contribution)</t>
        </is>
      </c>
      <c r="B8" s="3">
        <f>ROUNDUP(Assumptions!B4/Assumptions!B12,0)</f>
        <v/>
      </c>
      <c r="C8" s="3">
        <f>ROUNDUP(Assumptions!B4/Assumptions!B12,0)</f>
        <v/>
      </c>
      <c r="D8" t="inlineStr">
        <is>
          <t>Calculated</t>
        </is>
      </c>
    </row>
    <row r="9">
      <c r="A9" t="inlineStr">
        <is>
          <t>Lowest cumulative cash (KZT)</t>
        </is>
      </c>
      <c r="B9" s="3">
        <f>MIN(Payback!G4:G51)</f>
        <v/>
      </c>
      <c r="C9" s="3">
        <f>MIN(Payback!J4:J51)</f>
        <v/>
      </c>
      <c r="D9" t="inlineStr">
        <is>
          <t>Calculated</t>
        </is>
      </c>
    </row>
    <row r="10">
      <c r="A10" t="inlineStr">
        <is>
          <t>Cumulative cash at month 24 (KZT)</t>
        </is>
      </c>
      <c r="B10" s="3">
        <f>Payback!G27</f>
        <v/>
      </c>
      <c r="C10" s="3">
        <f>Payback!J27</f>
        <v/>
      </c>
      <c r="D10" t="inlineStr">
        <is>
          <t>Calculated</t>
        </is>
      </c>
    </row>
    <row r="11">
      <c r="A11" t="inlineStr">
        <is>
          <t>Cumulative cash at month 48 (KZT)</t>
        </is>
      </c>
      <c r="B11" s="3">
        <f>Payback!G51</f>
        <v/>
      </c>
      <c r="C11" s="3">
        <f>Payback!J51</f>
        <v/>
      </c>
      <c r="D11" t="inlineStr">
        <is>
          <t>Calculated</t>
        </is>
      </c>
    </row>
    <row r="12">
      <c r="A12" t="inlineStr">
        <is>
          <t>PAYBACK MONTH</t>
        </is>
      </c>
      <c r="B12" s="4">
        <f>IF(COUNT(Payback!K4:K51)=0,"&gt; 48",MIN(Payback!K4:K51))</f>
        <v/>
      </c>
      <c r="C12" s="4">
        <f>IF(COUNT(Payback!L4:L51)=0,"&gt; 48",MIN(Payback!L4:L51))</f>
        <v/>
      </c>
      <c r="D12" t="inlineStr">
        <is>
          <t>Calculated</t>
        </is>
      </c>
    </row>
    <row r="14">
      <c r="A14" s="5" t="inlineStr">
        <is>
          <t>Payback month = first month (from launch) when cumulative cash is ≥ 0. Worse case = 30% fewer extra travelers, same costs.</t>
        </is>
      </c>
    </row>
    <row r="15">
      <c r="A15" s="5" t="inlineStr">
        <is>
          <t>Check: 150,000,000 ÷ 3,400 = 44,118 KZT, slightly above the stated 44,000 average price. The model uses 44,000 (careful).</t>
        </is>
      </c>
    </row>
    <row r="16">
      <c r="A16" s="5" t="inlineStr">
        <is>
          <t>Planning assumptions, not a forecast. Change the yellow cells on 'Assumptions' and 'Budget'; every result updates.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9" customWidth="1" min="3" max="3"/>
    <col width="13" customWidth="1" min="4" max="4"/>
    <col width="62" customWidth="1" min="5" max="5"/>
  </cols>
  <sheetData>
    <row r="1">
      <c r="A1" s="1" t="inlineStr">
        <is>
          <t>Saryarqa Go · Cost and payback sheet · assumptions (yellow cells can be changed)</t>
        </is>
      </c>
    </row>
    <row r="3">
      <c r="A3" s="2" t="inlineStr">
        <is>
          <t>Input</t>
        </is>
      </c>
      <c r="B3" s="2" t="inlineStr">
        <is>
          <t>Value</t>
        </is>
      </c>
      <c r="C3" s="2" t="inlineStr">
        <is>
          <t>Unit</t>
        </is>
      </c>
      <c r="D3" s="2" t="inlineStr">
        <is>
          <t>Label</t>
        </is>
      </c>
      <c r="E3" s="2" t="inlineStr">
        <is>
          <t>Note</t>
        </is>
      </c>
    </row>
    <row r="4">
      <c r="A4" t="inlineStr">
        <is>
          <t>Budget cap (development and launch, year 1)</t>
        </is>
      </c>
      <c r="B4" s="6" t="n">
        <v>20000000</v>
      </c>
      <c r="C4" t="inlineStr">
        <is>
          <t>KZT</t>
        </is>
      </c>
      <c r="D4" t="inlineStr">
        <is>
          <t>Case fact</t>
        </is>
      </c>
      <c r="E4" t="inlineStr">
        <is>
          <t>Case rule</t>
        </is>
      </c>
    </row>
    <row r="5">
      <c r="A5" t="inlineStr">
        <is>
          <t>Travelers in 2025</t>
        </is>
      </c>
      <c r="B5" s="7" t="n">
        <v>3400</v>
      </c>
      <c r="C5" t="inlineStr">
        <is>
          <t>people</t>
        </is>
      </c>
      <c r="D5" t="inlineStr">
        <is>
          <t>Case fact</t>
        </is>
      </c>
      <c r="E5" t="inlineStr"/>
    </row>
    <row r="6">
      <c r="A6" t="inlineStr">
        <is>
          <t>Revenue in 2025</t>
        </is>
      </c>
      <c r="B6" s="6" t="n">
        <v>150000000</v>
      </c>
      <c r="C6" t="inlineStr">
        <is>
          <t>KZT</t>
        </is>
      </c>
      <c r="D6" t="inlineStr">
        <is>
          <t>Case fact</t>
        </is>
      </c>
      <c r="E6" t="inlineStr"/>
    </row>
    <row r="7">
      <c r="A7" t="inlineStr">
        <is>
          <t>Average price per traveler</t>
        </is>
      </c>
      <c r="B7" s="6" t="n">
        <v>44000</v>
      </c>
      <c r="C7" t="inlineStr">
        <is>
          <t>KZT</t>
        </is>
      </c>
      <c r="D7" t="inlineStr">
        <is>
          <t>Case fact</t>
        </is>
      </c>
      <c r="E7" t="inlineStr">
        <is>
          <t>Stated in the case</t>
        </is>
      </c>
    </row>
    <row r="8">
      <c r="A8" t="inlineStr">
        <is>
          <t>Revenue / travelers (check)</t>
        </is>
      </c>
      <c r="B8" s="6">
        <f>B6/B5</f>
        <v/>
      </c>
      <c r="C8" t="inlineStr">
        <is>
          <t>KZT</t>
        </is>
      </c>
      <c r="D8" t="inlineStr">
        <is>
          <t>Calculated</t>
        </is>
      </c>
      <c r="E8" t="inlineStr">
        <is>
          <t>44,118 vs the stated 44,000: the model uses 44,000 (careful)</t>
        </is>
      </c>
    </row>
    <row r="9">
      <c r="A9" t="inlineStr">
        <is>
          <t>Share of foreign travelers today</t>
        </is>
      </c>
      <c r="B9" s="8" t="n">
        <v>0.04</v>
      </c>
      <c r="C9" t="inlineStr"/>
      <c r="D9" t="inlineStr">
        <is>
          <t>Case fact</t>
        </is>
      </c>
      <c r="E9" t="inlineStr">
        <is>
          <t>~96% are from Kazakhstan</t>
        </is>
      </c>
    </row>
    <row r="10">
      <c r="A10" t="inlineStr">
        <is>
          <t>Goal: share of foreign travelers</t>
        </is>
      </c>
      <c r="B10" s="8" t="n">
        <v>0.3</v>
      </c>
      <c r="C10" t="inlineStr"/>
      <c r="D10" t="inlineStr">
        <is>
          <t>Case fact</t>
        </is>
      </c>
      <c r="E10" t="inlineStr">
        <is>
          <t>within 24 months</t>
        </is>
      </c>
    </row>
    <row r="11">
      <c r="A11" t="inlineStr">
        <is>
          <t>Contribution margin</t>
        </is>
      </c>
      <c r="B11" s="9" t="n">
        <v>0.3</v>
      </c>
      <c r="C11" t="inlineStr"/>
      <c r="D11" t="inlineStr">
        <is>
          <t>Assumption</t>
        </is>
      </c>
      <c r="E11" t="inlineStr">
        <is>
          <t>share of the price left after guides, transport, hotels, fees</t>
        </is>
      </c>
    </row>
    <row r="12">
      <c r="A12" t="inlineStr">
        <is>
          <t>Contribution per traveler</t>
        </is>
      </c>
      <c r="B12" s="6">
        <f>B7*B11</f>
        <v/>
      </c>
      <c r="C12" t="inlineStr">
        <is>
          <t>KZT</t>
        </is>
      </c>
      <c r="D12" t="inlineStr">
        <is>
          <t>Calculated</t>
        </is>
      </c>
      <c r="E12" t="inlineStr">
        <is>
          <t>price × margin</t>
        </is>
      </c>
    </row>
    <row r="13">
      <c r="A13" t="inlineStr">
        <is>
          <t>Running cost per month from month 13</t>
        </is>
      </c>
      <c r="B13" s="10" t="n">
        <v>300000</v>
      </c>
      <c r="C13" t="inlineStr">
        <is>
          <t>KZT</t>
        </is>
      </c>
      <c r="D13" t="inlineStr">
        <is>
          <t>Assumption</t>
        </is>
      </c>
      <c r="E13" t="inlineStr">
        <is>
          <t>hosting, AI usage, support, content</t>
        </is>
      </c>
    </row>
    <row r="14">
      <c r="A14" t="inlineStr">
        <is>
          <t>One-time costs spread over months 1..N</t>
        </is>
      </c>
      <c r="B14" s="11" t="n">
        <v>3</v>
      </c>
      <c r="C14" t="inlineStr">
        <is>
          <t>months</t>
        </is>
      </c>
      <c r="D14" t="inlineStr">
        <is>
          <t>Assumption</t>
        </is>
      </c>
      <c r="E14" t="inlineStr"/>
    </row>
    <row r="15">
      <c r="A15" t="inlineStr">
        <is>
          <t>Other year-1 costs spread over months 1..N</t>
        </is>
      </c>
      <c r="B15" s="11" t="n">
        <v>12</v>
      </c>
      <c r="C15" t="inlineStr">
        <is>
          <t>months</t>
        </is>
      </c>
      <c r="D15" t="inlineStr">
        <is>
          <t>Assumption</t>
        </is>
      </c>
      <c r="E15" t="inlineStr">
        <is>
          <t>recurring + contingency</t>
        </is>
      </c>
    </row>
    <row r="16">
      <c r="A16" t="inlineStr">
        <is>
          <t>Launch month</t>
        </is>
      </c>
      <c r="B16" s="11" t="n">
        <v>4</v>
      </c>
      <c r="C16" t="inlineStr"/>
      <c r="D16" t="inlineStr">
        <is>
          <t>Assumption</t>
        </is>
      </c>
      <c r="E16" t="inlineStr"/>
    </row>
    <row r="17">
      <c r="A17" t="inlineStr">
        <is>
          <t>Month the ramp reaches 100%</t>
        </is>
      </c>
      <c r="B17" s="11" t="n">
        <v>24</v>
      </c>
      <c r="C17" t="inlineStr"/>
      <c r="D17" t="inlineStr">
        <is>
          <t>Assumption</t>
        </is>
      </c>
      <c r="E17" t="inlineStr">
        <is>
          <t>linear ramp from launch, then flat</t>
        </is>
      </c>
    </row>
    <row r="18">
      <c r="A18" t="inlineStr">
        <is>
          <t>Worse case: results × factor</t>
        </is>
      </c>
      <c r="B18" s="12" t="n">
        <v>0.7</v>
      </c>
      <c r="C18" t="inlineStr"/>
      <c r="D18" t="inlineStr">
        <is>
          <t>Assumption</t>
        </is>
      </c>
      <c r="E18" t="inlineStr">
        <is>
          <t>30% lower results</t>
        </is>
      </c>
    </row>
    <row r="20">
      <c r="A20" s="13" t="inlineStr">
        <is>
          <t>Where the extra foreign travelers come from</t>
        </is>
      </c>
    </row>
    <row r="21">
      <c r="A21" s="2" t="inlineStr">
        <is>
          <t>Step</t>
        </is>
      </c>
      <c r="B21" s="2" t="inlineStr">
        <is>
          <t>Value</t>
        </is>
      </c>
      <c r="C21" s="2" t="inlineStr"/>
      <c r="D21" s="2" t="inlineStr">
        <is>
          <t>Label</t>
        </is>
      </c>
      <c r="E21" s="2" t="inlineStr">
        <is>
          <t>Formula</t>
        </is>
      </c>
    </row>
    <row r="22">
      <c r="A22" t="inlineStr">
        <is>
          <t>Foreign travelers today</t>
        </is>
      </c>
      <c r="B22" s="7">
        <f>ROUND(B5*B9,0)</f>
        <v/>
      </c>
      <c r="D22" t="inlineStr">
        <is>
          <t>Calculated</t>
        </is>
      </c>
      <c r="E22" t="inlineStr">
        <is>
          <t>3,400 × 4%</t>
        </is>
      </c>
    </row>
    <row r="23">
      <c r="A23" t="inlineStr">
        <is>
          <t>Domestic travelers (kept)</t>
        </is>
      </c>
      <c r="B23" s="7">
        <f>B5-B22</f>
        <v/>
      </c>
      <c r="D23" t="inlineStr">
        <is>
          <t>Calculated</t>
        </is>
      </c>
      <c r="E23" t="inlineStr">
        <is>
          <t>3,400 − foreign</t>
        </is>
      </c>
    </row>
    <row r="24">
      <c r="A24" t="inlineStr">
        <is>
          <t>Total needed for 30% foreign</t>
        </is>
      </c>
      <c r="B24" s="7">
        <f>ROUND(B23/(1-B10),0)</f>
        <v/>
      </c>
      <c r="D24" t="inlineStr">
        <is>
          <t>Calculated</t>
        </is>
      </c>
      <c r="E24" t="inlineStr">
        <is>
          <t>domestic ÷ 0.7</t>
        </is>
      </c>
    </row>
    <row r="25">
      <c r="A25" t="inlineStr">
        <is>
          <t>Foreign travelers needed</t>
        </is>
      </c>
      <c r="B25" s="7">
        <f>ROUND(B24*B10,0)</f>
        <v/>
      </c>
      <c r="D25" t="inlineStr">
        <is>
          <t>Calculated</t>
        </is>
      </c>
      <c r="E25" t="inlineStr">
        <is>
          <t>total × 30%</t>
        </is>
      </c>
    </row>
    <row r="26">
      <c r="A26" t="inlineStr">
        <is>
          <t>Extra foreign travelers per year (target by month 24)</t>
        </is>
      </c>
      <c r="B26" s="7">
        <f>B25-B22</f>
        <v/>
      </c>
      <c r="D26" t="inlineStr">
        <is>
          <t>Calculated</t>
        </is>
      </c>
      <c r="E26" t="inlineStr">
        <is>
          <t>needed − today ≈ 1,263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7" customWidth="1" min="3" max="3"/>
    <col width="16" customWidth="1" min="4" max="4"/>
    <col width="9" customWidth="1" min="5" max="5"/>
  </cols>
  <sheetData>
    <row r="1">
      <c r="A1" s="1" t="inlineStr">
        <is>
          <t>Year-1 budget (planning assumptions, team proposal)</t>
        </is>
      </c>
    </row>
    <row r="3">
      <c r="A3" s="2" t="inlineStr">
        <is>
          <t>Item</t>
        </is>
      </c>
      <c r="B3" s="2" t="inlineStr">
        <is>
          <t>Type</t>
        </is>
      </c>
      <c r="C3" s="2" t="inlineStr">
        <is>
          <t>Gate</t>
        </is>
      </c>
      <c r="D3" s="2" t="inlineStr">
        <is>
          <t>KZT</t>
        </is>
      </c>
      <c r="E3" s="2" t="inlineStr">
        <is>
          <t>Share</t>
        </is>
      </c>
    </row>
    <row r="4">
      <c r="A4" t="inlineStr">
        <is>
          <t>Design &amp; development</t>
        </is>
      </c>
      <c r="B4" t="inlineStr">
        <is>
          <t>one-time</t>
        </is>
      </c>
      <c r="C4" t="n">
        <v>1</v>
      </c>
      <c r="D4" s="11" t="n">
        <v>8000000</v>
      </c>
      <c r="E4" s="14">
        <f>D4/$D$12</f>
        <v/>
      </c>
    </row>
    <row r="5">
      <c r="A5" t="inlineStr">
        <is>
          <t>Localization EN / 中文</t>
        </is>
      </c>
      <c r="B5" t="inlineStr">
        <is>
          <t>one-time</t>
        </is>
      </c>
      <c r="C5" t="n">
        <v>1</v>
      </c>
      <c r="D5" s="11" t="n">
        <v>1500000</v>
      </c>
      <c r="E5" s="14">
        <f>D5/$D$12</f>
        <v/>
      </c>
    </row>
    <row r="6">
      <c r="A6" t="inlineStr">
        <is>
          <t>Payment integration &amp; testing</t>
        </is>
      </c>
      <c r="B6" t="inlineStr">
        <is>
          <t>one-time</t>
        </is>
      </c>
      <c r="C6" t="n">
        <v>1</v>
      </c>
      <c r="D6" s="11" t="n">
        <v>1500000</v>
      </c>
      <c r="E6" s="14">
        <f>D6/$D$12</f>
        <v/>
      </c>
    </row>
    <row r="7">
      <c r="A7" t="inlineStr">
        <is>
          <t>Trust content: guide videos, photos</t>
        </is>
      </c>
      <c r="B7" t="inlineStr">
        <is>
          <t>one-time</t>
        </is>
      </c>
      <c r="C7" t="n">
        <v>1</v>
      </c>
      <c r="D7" s="11" t="n">
        <v>1000000</v>
      </c>
      <c r="E7" s="14">
        <f>D7/$D$12</f>
        <v/>
      </c>
    </row>
    <row r="8">
      <c r="A8" t="inlineStr">
        <is>
          <t>Marketing &amp; acquisition</t>
        </is>
      </c>
      <c r="B8" t="inlineStr">
        <is>
          <t>recurring</t>
        </is>
      </c>
      <c r="C8" t="n">
        <v>2</v>
      </c>
      <c r="D8" s="11" t="n">
        <v>4500000</v>
      </c>
      <c r="E8" s="14">
        <f>D8/$D$12</f>
        <v/>
      </c>
    </row>
    <row r="9">
      <c r="A9" t="inlineStr">
        <is>
          <t>Hosting, AI usage, maintenance</t>
        </is>
      </c>
      <c r="B9" t="inlineStr">
        <is>
          <t>recurring</t>
        </is>
      </c>
      <c r="C9" t="n">
        <v>1</v>
      </c>
      <c r="D9" s="11" t="n">
        <v>1500000</v>
      </c>
      <c r="E9" s="14">
        <f>D9/$D$12</f>
        <v/>
      </c>
    </row>
    <row r="10">
      <c r="A10" t="inlineStr">
        <is>
          <t>Pilot &amp; support</t>
        </is>
      </c>
      <c r="B10" t="inlineStr">
        <is>
          <t>recurring</t>
        </is>
      </c>
      <c r="C10" t="n">
        <v>1</v>
      </c>
      <c r="D10" s="11" t="n">
        <v>1000000</v>
      </c>
      <c r="E10" s="14">
        <f>D10/$D$12</f>
        <v/>
      </c>
    </row>
    <row r="11">
      <c r="A11" t="inlineStr">
        <is>
          <t>Contingency</t>
        </is>
      </c>
      <c r="B11" t="inlineStr">
        <is>
          <t>reserve</t>
        </is>
      </c>
      <c r="C11" t="n">
        <v>2</v>
      </c>
      <c r="D11" s="11" t="n">
        <v>1000000</v>
      </c>
      <c r="E11" s="14">
        <f>D11/$D$12</f>
        <v/>
      </c>
    </row>
    <row r="12">
      <c r="A12" s="13" t="inlineStr">
        <is>
          <t>Total year 1</t>
        </is>
      </c>
      <c r="D12" s="15">
        <f>SUM(D4:D11)</f>
        <v/>
      </c>
      <c r="E12" s="14">
        <f>SUM(E4:E11)</f>
        <v/>
      </c>
    </row>
    <row r="14">
      <c r="A14" t="inlineStr">
        <is>
          <t>One-time costs</t>
        </is>
      </c>
      <c r="D14" s="7">
        <f>SUMIF(B4:B11,"one-time",D4:D11)</f>
        <v/>
      </c>
    </row>
    <row r="15">
      <c r="A15" t="inlineStr">
        <is>
          <t>Recurring + contingency (year 1)</t>
        </is>
      </c>
      <c r="D15" s="7">
        <f>D12-D14</f>
        <v/>
      </c>
    </row>
    <row r="16">
      <c r="A16" t="inlineStr">
        <is>
          <t>Monthly cost, months 1-3</t>
        </is>
      </c>
      <c r="D16" s="7">
        <f>D14/Assumptions!B14+D15/Assumptions!B15</f>
        <v/>
      </c>
    </row>
    <row r="17">
      <c r="A17" t="inlineStr">
        <is>
          <t>Monthly cost, months 4-12</t>
        </is>
      </c>
      <c r="D17" s="7">
        <f>D15/Assumptions!B15</f>
        <v/>
      </c>
    </row>
    <row r="18">
      <c r="A18" t="inlineStr">
        <is>
          <t>Monthly cost from month 13</t>
        </is>
      </c>
      <c r="D18" s="7">
        <f>Assumptions!B13</f>
        <v/>
      </c>
    </row>
    <row r="19">
      <c r="A19" t="inlineStr">
        <is>
          <t>Gate 1: MVP + pilot</t>
        </is>
      </c>
      <c r="D19" s="7">
        <f>SUMIF(C4:C11,1,D4:D11)</f>
        <v/>
      </c>
    </row>
    <row r="20">
      <c r="A20" t="inlineStr">
        <is>
          <t>Gate 2: only if pilot metrics are met</t>
        </is>
      </c>
      <c r="D20" s="7">
        <f>SUMIF(C4:C11,2,D4:D11)</f>
        <v/>
      </c>
    </row>
    <row r="21">
      <c r="A21" t="inlineStr">
        <is>
          <t>Within the cap?</t>
        </is>
      </c>
      <c r="D21" s="7">
        <f>IF(D12&lt;=Assumptions!B4,"YES","NO")</f>
        <v/>
      </c>
    </row>
    <row r="23">
      <c r="A23" s="16" t="inlineStr">
        <is>
          <t>AI usage is paid from the existing line 'Hosting, AI usage, maintenance'. Staged spending (Gate 1 / Gate 2) is a team proposal.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5" customWidth="1" min="4" max="4"/>
    <col width="18" customWidth="1" min="5" max="5"/>
    <col width="13" customWidth="1" min="6" max="6"/>
    <col width="17" customWidth="1" min="7" max="7"/>
    <col width="16" customWidth="1" min="8" max="8"/>
    <col width="19" customWidth="1" min="9" max="9"/>
    <col width="17" customWidth="1" min="10" max="10"/>
    <col width="13" customWidth="1" min="11" max="11"/>
    <col width="13" customWidth="1" min="12" max="12"/>
  </cols>
  <sheetData>
    <row r="1">
      <c r="A1" s="1" t="inlineStr">
        <is>
          <t>Monthly cash flow, 48 months (base and worse case −30%)</t>
        </is>
      </c>
    </row>
    <row r="3">
      <c r="A3" s="2" t="inlineStr">
        <is>
          <t>Month</t>
        </is>
      </c>
      <c r="B3" s="2" t="inlineStr">
        <is>
          <t>Costs</t>
        </is>
      </c>
      <c r="C3" s="2" t="inlineStr">
        <is>
          <t>Ramp</t>
        </is>
      </c>
      <c r="D3" s="2" t="inlineStr">
        <is>
          <t>Travelers (base)</t>
        </is>
      </c>
      <c r="E3" s="2" t="inlineStr">
        <is>
          <t>Margin earned (base)</t>
        </is>
      </c>
      <c r="F3" s="2" t="inlineStr">
        <is>
          <t>Net (base)</t>
        </is>
      </c>
      <c r="G3" s="2" t="inlineStr">
        <is>
          <t>Cumulative (base)</t>
        </is>
      </c>
      <c r="H3" s="2" t="inlineStr">
        <is>
          <t>Travelers (−30%)</t>
        </is>
      </c>
      <c r="I3" s="2" t="inlineStr">
        <is>
          <t>Margin earned (−30%)</t>
        </is>
      </c>
      <c r="J3" s="2" t="inlineStr">
        <is>
          <t>Cumulative (−30%)</t>
        </is>
      </c>
      <c r="K3" s="2" t="inlineStr">
        <is>
          <t>Payback? base</t>
        </is>
      </c>
      <c r="L3" s="2" t="inlineStr">
        <is>
          <t>Payback? −30%</t>
        </is>
      </c>
    </row>
    <row r="4">
      <c r="A4" t="n">
        <v>1</v>
      </c>
      <c r="B4" s="7">
        <f>IF(A4&lt;=Assumptions!$B$14,Budget!D14/Assumptions!$B$14,0)+IF(A4&lt;=Assumptions!$B$15,Budget!D15/Assumptions!$B$15,Assumptions!$B$13)</f>
        <v/>
      </c>
      <c r="C4" s="17">
        <f>IF(A4&lt;Assumptions!$B$16,0,IF(A4&gt;=Assumptions!$B$17,1,(A4-Assumptions!$B$16+1)/(Assumptions!$B$17-Assumptions!$B$16+1)))</f>
        <v/>
      </c>
      <c r="D4" s="18">
        <f>Assumptions!$B$26/12*C4</f>
        <v/>
      </c>
      <c r="E4" s="7">
        <f>D4*Assumptions!$B$12</f>
        <v/>
      </c>
      <c r="F4" s="7">
        <f>E4-B4</f>
        <v/>
      </c>
      <c r="G4" s="7">
        <f>F4</f>
        <v/>
      </c>
      <c r="H4" s="18">
        <f>D4*Assumptions!$B$18</f>
        <v/>
      </c>
      <c r="I4" s="7">
        <f>H4*Assumptions!$B$12</f>
        <v/>
      </c>
      <c r="J4" s="7">
        <f>I4-B4</f>
        <v/>
      </c>
      <c r="K4">
        <f>IF(AND(A4&gt;=Assumptions!$B$16,G4&gt;=0),A4,"")</f>
        <v/>
      </c>
      <c r="L4">
        <f>IF(AND(A4&gt;=Assumptions!$B$16,J4&gt;=0),A4,"")</f>
        <v/>
      </c>
    </row>
    <row r="5">
      <c r="A5" t="n">
        <v>2</v>
      </c>
      <c r="B5" s="7">
        <f>IF(A5&lt;=Assumptions!$B$14,Budget!D14/Assumptions!$B$14,0)+IF(A5&lt;=Assumptions!$B$15,Budget!D15/Assumptions!$B$15,Assumptions!$B$13)</f>
        <v/>
      </c>
      <c r="C5" s="17">
        <f>IF(A5&lt;Assumptions!$B$16,0,IF(A5&gt;=Assumptions!$B$17,1,(A5-Assumptions!$B$16+1)/(Assumptions!$B$17-Assumptions!$B$16+1)))</f>
        <v/>
      </c>
      <c r="D5" s="18">
        <f>Assumptions!$B$26/12*C5</f>
        <v/>
      </c>
      <c r="E5" s="7">
        <f>D5*Assumptions!$B$12</f>
        <v/>
      </c>
      <c r="F5" s="7">
        <f>E5-B5</f>
        <v/>
      </c>
      <c r="G5" s="7">
        <f>G4+F5</f>
        <v/>
      </c>
      <c r="H5" s="18">
        <f>D5*Assumptions!$B$18</f>
        <v/>
      </c>
      <c r="I5" s="7">
        <f>H5*Assumptions!$B$12</f>
        <v/>
      </c>
      <c r="J5" s="7">
        <f>J4+I5-B5</f>
        <v/>
      </c>
      <c r="K5">
        <f>IF(AND(A5&gt;=Assumptions!$B$16,G5&gt;=0),A5,"")</f>
        <v/>
      </c>
      <c r="L5">
        <f>IF(AND(A5&gt;=Assumptions!$B$16,J5&gt;=0),A5,"")</f>
        <v/>
      </c>
    </row>
    <row r="6">
      <c r="A6" t="n">
        <v>3</v>
      </c>
      <c r="B6" s="7">
        <f>IF(A6&lt;=Assumptions!$B$14,Budget!D14/Assumptions!$B$14,0)+IF(A6&lt;=Assumptions!$B$15,Budget!D15/Assumptions!$B$15,Assumptions!$B$13)</f>
        <v/>
      </c>
      <c r="C6" s="17">
        <f>IF(A6&lt;Assumptions!$B$16,0,IF(A6&gt;=Assumptions!$B$17,1,(A6-Assumptions!$B$16+1)/(Assumptions!$B$17-Assumptions!$B$16+1)))</f>
        <v/>
      </c>
      <c r="D6" s="18">
        <f>Assumptions!$B$26/12*C6</f>
        <v/>
      </c>
      <c r="E6" s="7">
        <f>D6*Assumptions!$B$12</f>
        <v/>
      </c>
      <c r="F6" s="7">
        <f>E6-B6</f>
        <v/>
      </c>
      <c r="G6" s="7">
        <f>G5+F6</f>
        <v/>
      </c>
      <c r="H6" s="18">
        <f>D6*Assumptions!$B$18</f>
        <v/>
      </c>
      <c r="I6" s="7">
        <f>H6*Assumptions!$B$12</f>
        <v/>
      </c>
      <c r="J6" s="7">
        <f>J5+I6-B6</f>
        <v/>
      </c>
      <c r="K6">
        <f>IF(AND(A6&gt;=Assumptions!$B$16,G6&gt;=0),A6,"")</f>
        <v/>
      </c>
      <c r="L6">
        <f>IF(AND(A6&gt;=Assumptions!$B$16,J6&gt;=0),A6,"")</f>
        <v/>
      </c>
    </row>
    <row r="7">
      <c r="A7" t="n">
        <v>4</v>
      </c>
      <c r="B7" s="7">
        <f>IF(A7&lt;=Assumptions!$B$14,Budget!D14/Assumptions!$B$14,0)+IF(A7&lt;=Assumptions!$B$15,Budget!D15/Assumptions!$B$15,Assumptions!$B$13)</f>
        <v/>
      </c>
      <c r="C7" s="17">
        <f>IF(A7&lt;Assumptions!$B$16,0,IF(A7&gt;=Assumptions!$B$17,1,(A7-Assumptions!$B$16+1)/(Assumptions!$B$17-Assumptions!$B$16+1)))</f>
        <v/>
      </c>
      <c r="D7" s="18">
        <f>Assumptions!$B$26/12*C7</f>
        <v/>
      </c>
      <c r="E7" s="7">
        <f>D7*Assumptions!$B$12</f>
        <v/>
      </c>
      <c r="F7" s="7">
        <f>E7-B7</f>
        <v/>
      </c>
      <c r="G7" s="7">
        <f>G6+F7</f>
        <v/>
      </c>
      <c r="H7" s="18">
        <f>D7*Assumptions!$B$18</f>
        <v/>
      </c>
      <c r="I7" s="7">
        <f>H7*Assumptions!$B$12</f>
        <v/>
      </c>
      <c r="J7" s="7">
        <f>J6+I7-B7</f>
        <v/>
      </c>
      <c r="K7">
        <f>IF(AND(A7&gt;=Assumptions!$B$16,G7&gt;=0),A7,"")</f>
        <v/>
      </c>
      <c r="L7">
        <f>IF(AND(A7&gt;=Assumptions!$B$16,J7&gt;=0),A7,"")</f>
        <v/>
      </c>
    </row>
    <row r="8">
      <c r="A8" t="n">
        <v>5</v>
      </c>
      <c r="B8" s="7">
        <f>IF(A8&lt;=Assumptions!$B$14,Budget!D14/Assumptions!$B$14,0)+IF(A8&lt;=Assumptions!$B$15,Budget!D15/Assumptions!$B$15,Assumptions!$B$13)</f>
        <v/>
      </c>
      <c r="C8" s="17">
        <f>IF(A8&lt;Assumptions!$B$16,0,IF(A8&gt;=Assumptions!$B$17,1,(A8-Assumptions!$B$16+1)/(Assumptions!$B$17-Assumptions!$B$16+1)))</f>
        <v/>
      </c>
      <c r="D8" s="18">
        <f>Assumptions!$B$26/12*C8</f>
        <v/>
      </c>
      <c r="E8" s="7">
        <f>D8*Assumptions!$B$12</f>
        <v/>
      </c>
      <c r="F8" s="7">
        <f>E8-B8</f>
        <v/>
      </c>
      <c r="G8" s="7">
        <f>G7+F8</f>
        <v/>
      </c>
      <c r="H8" s="18">
        <f>D8*Assumptions!$B$18</f>
        <v/>
      </c>
      <c r="I8" s="7">
        <f>H8*Assumptions!$B$12</f>
        <v/>
      </c>
      <c r="J8" s="7">
        <f>J7+I8-B8</f>
        <v/>
      </c>
      <c r="K8">
        <f>IF(AND(A8&gt;=Assumptions!$B$16,G8&gt;=0),A8,"")</f>
        <v/>
      </c>
      <c r="L8">
        <f>IF(AND(A8&gt;=Assumptions!$B$16,J8&gt;=0),A8,"")</f>
        <v/>
      </c>
    </row>
    <row r="9">
      <c r="A9" t="n">
        <v>6</v>
      </c>
      <c r="B9" s="7">
        <f>IF(A9&lt;=Assumptions!$B$14,Budget!D14/Assumptions!$B$14,0)+IF(A9&lt;=Assumptions!$B$15,Budget!D15/Assumptions!$B$15,Assumptions!$B$13)</f>
        <v/>
      </c>
      <c r="C9" s="17">
        <f>IF(A9&lt;Assumptions!$B$16,0,IF(A9&gt;=Assumptions!$B$17,1,(A9-Assumptions!$B$16+1)/(Assumptions!$B$17-Assumptions!$B$16+1)))</f>
        <v/>
      </c>
      <c r="D9" s="18">
        <f>Assumptions!$B$26/12*C9</f>
        <v/>
      </c>
      <c r="E9" s="7">
        <f>D9*Assumptions!$B$12</f>
        <v/>
      </c>
      <c r="F9" s="7">
        <f>E9-B9</f>
        <v/>
      </c>
      <c r="G9" s="7">
        <f>G8+F9</f>
        <v/>
      </c>
      <c r="H9" s="18">
        <f>D9*Assumptions!$B$18</f>
        <v/>
      </c>
      <c r="I9" s="7">
        <f>H9*Assumptions!$B$12</f>
        <v/>
      </c>
      <c r="J9" s="7">
        <f>J8+I9-B9</f>
        <v/>
      </c>
      <c r="K9">
        <f>IF(AND(A9&gt;=Assumptions!$B$16,G9&gt;=0),A9,"")</f>
        <v/>
      </c>
      <c r="L9">
        <f>IF(AND(A9&gt;=Assumptions!$B$16,J9&gt;=0),A9,"")</f>
        <v/>
      </c>
    </row>
    <row r="10">
      <c r="A10" t="n">
        <v>7</v>
      </c>
      <c r="B10" s="7">
        <f>IF(A10&lt;=Assumptions!$B$14,Budget!D14/Assumptions!$B$14,0)+IF(A10&lt;=Assumptions!$B$15,Budget!D15/Assumptions!$B$15,Assumptions!$B$13)</f>
        <v/>
      </c>
      <c r="C10" s="17">
        <f>IF(A10&lt;Assumptions!$B$16,0,IF(A10&gt;=Assumptions!$B$17,1,(A10-Assumptions!$B$16+1)/(Assumptions!$B$17-Assumptions!$B$16+1)))</f>
        <v/>
      </c>
      <c r="D10" s="18">
        <f>Assumptions!$B$26/12*C10</f>
        <v/>
      </c>
      <c r="E10" s="7">
        <f>D10*Assumptions!$B$12</f>
        <v/>
      </c>
      <c r="F10" s="7">
        <f>E10-B10</f>
        <v/>
      </c>
      <c r="G10" s="7">
        <f>G9+F10</f>
        <v/>
      </c>
      <c r="H10" s="18">
        <f>D10*Assumptions!$B$18</f>
        <v/>
      </c>
      <c r="I10" s="7">
        <f>H10*Assumptions!$B$12</f>
        <v/>
      </c>
      <c r="J10" s="7">
        <f>J9+I10-B10</f>
        <v/>
      </c>
      <c r="K10">
        <f>IF(AND(A10&gt;=Assumptions!$B$16,G10&gt;=0),A10,"")</f>
        <v/>
      </c>
      <c r="L10">
        <f>IF(AND(A10&gt;=Assumptions!$B$16,J10&gt;=0),A10,"")</f>
        <v/>
      </c>
    </row>
    <row r="11">
      <c r="A11" t="n">
        <v>8</v>
      </c>
      <c r="B11" s="7">
        <f>IF(A11&lt;=Assumptions!$B$14,Budget!D14/Assumptions!$B$14,0)+IF(A11&lt;=Assumptions!$B$15,Budget!D15/Assumptions!$B$15,Assumptions!$B$13)</f>
        <v/>
      </c>
      <c r="C11" s="17">
        <f>IF(A11&lt;Assumptions!$B$16,0,IF(A11&gt;=Assumptions!$B$17,1,(A11-Assumptions!$B$16+1)/(Assumptions!$B$17-Assumptions!$B$16+1)))</f>
        <v/>
      </c>
      <c r="D11" s="18">
        <f>Assumptions!$B$26/12*C11</f>
        <v/>
      </c>
      <c r="E11" s="7">
        <f>D11*Assumptions!$B$12</f>
        <v/>
      </c>
      <c r="F11" s="7">
        <f>E11-B11</f>
        <v/>
      </c>
      <c r="G11" s="7">
        <f>G10+F11</f>
        <v/>
      </c>
      <c r="H11" s="18">
        <f>D11*Assumptions!$B$18</f>
        <v/>
      </c>
      <c r="I11" s="7">
        <f>H11*Assumptions!$B$12</f>
        <v/>
      </c>
      <c r="J11" s="7">
        <f>J10+I11-B11</f>
        <v/>
      </c>
      <c r="K11">
        <f>IF(AND(A11&gt;=Assumptions!$B$16,G11&gt;=0),A11,"")</f>
        <v/>
      </c>
      <c r="L11">
        <f>IF(AND(A11&gt;=Assumptions!$B$16,J11&gt;=0),A11,"")</f>
        <v/>
      </c>
    </row>
    <row r="12">
      <c r="A12" t="n">
        <v>9</v>
      </c>
      <c r="B12" s="7">
        <f>IF(A12&lt;=Assumptions!$B$14,Budget!D14/Assumptions!$B$14,0)+IF(A12&lt;=Assumptions!$B$15,Budget!D15/Assumptions!$B$15,Assumptions!$B$13)</f>
        <v/>
      </c>
      <c r="C12" s="17">
        <f>IF(A12&lt;Assumptions!$B$16,0,IF(A12&gt;=Assumptions!$B$17,1,(A12-Assumptions!$B$16+1)/(Assumptions!$B$17-Assumptions!$B$16+1)))</f>
        <v/>
      </c>
      <c r="D12" s="18">
        <f>Assumptions!$B$26/12*C12</f>
        <v/>
      </c>
      <c r="E12" s="7">
        <f>D12*Assumptions!$B$12</f>
        <v/>
      </c>
      <c r="F12" s="7">
        <f>E12-B12</f>
        <v/>
      </c>
      <c r="G12" s="7">
        <f>G11+F12</f>
        <v/>
      </c>
      <c r="H12" s="18">
        <f>D12*Assumptions!$B$18</f>
        <v/>
      </c>
      <c r="I12" s="7">
        <f>H12*Assumptions!$B$12</f>
        <v/>
      </c>
      <c r="J12" s="7">
        <f>J11+I12-B12</f>
        <v/>
      </c>
      <c r="K12">
        <f>IF(AND(A12&gt;=Assumptions!$B$16,G12&gt;=0),A12,"")</f>
        <v/>
      </c>
      <c r="L12">
        <f>IF(AND(A12&gt;=Assumptions!$B$16,J12&gt;=0),A12,"")</f>
        <v/>
      </c>
    </row>
    <row r="13">
      <c r="A13" t="n">
        <v>10</v>
      </c>
      <c r="B13" s="7">
        <f>IF(A13&lt;=Assumptions!$B$14,Budget!D14/Assumptions!$B$14,0)+IF(A13&lt;=Assumptions!$B$15,Budget!D15/Assumptions!$B$15,Assumptions!$B$13)</f>
        <v/>
      </c>
      <c r="C13" s="17">
        <f>IF(A13&lt;Assumptions!$B$16,0,IF(A13&gt;=Assumptions!$B$17,1,(A13-Assumptions!$B$16+1)/(Assumptions!$B$17-Assumptions!$B$16+1)))</f>
        <v/>
      </c>
      <c r="D13" s="18">
        <f>Assumptions!$B$26/12*C13</f>
        <v/>
      </c>
      <c r="E13" s="7">
        <f>D13*Assumptions!$B$12</f>
        <v/>
      </c>
      <c r="F13" s="7">
        <f>E13-B13</f>
        <v/>
      </c>
      <c r="G13" s="7">
        <f>G12+F13</f>
        <v/>
      </c>
      <c r="H13" s="18">
        <f>D13*Assumptions!$B$18</f>
        <v/>
      </c>
      <c r="I13" s="7">
        <f>H13*Assumptions!$B$12</f>
        <v/>
      </c>
      <c r="J13" s="7">
        <f>J12+I13-B13</f>
        <v/>
      </c>
      <c r="K13">
        <f>IF(AND(A13&gt;=Assumptions!$B$16,G13&gt;=0),A13,"")</f>
        <v/>
      </c>
      <c r="L13">
        <f>IF(AND(A13&gt;=Assumptions!$B$16,J13&gt;=0),A13,"")</f>
        <v/>
      </c>
    </row>
    <row r="14">
      <c r="A14" t="n">
        <v>11</v>
      </c>
      <c r="B14" s="7">
        <f>IF(A14&lt;=Assumptions!$B$14,Budget!D14/Assumptions!$B$14,0)+IF(A14&lt;=Assumptions!$B$15,Budget!D15/Assumptions!$B$15,Assumptions!$B$13)</f>
        <v/>
      </c>
      <c r="C14" s="17">
        <f>IF(A14&lt;Assumptions!$B$16,0,IF(A14&gt;=Assumptions!$B$17,1,(A14-Assumptions!$B$16+1)/(Assumptions!$B$17-Assumptions!$B$16+1)))</f>
        <v/>
      </c>
      <c r="D14" s="18">
        <f>Assumptions!$B$26/12*C14</f>
        <v/>
      </c>
      <c r="E14" s="7">
        <f>D14*Assumptions!$B$12</f>
        <v/>
      </c>
      <c r="F14" s="7">
        <f>E14-B14</f>
        <v/>
      </c>
      <c r="G14" s="7">
        <f>G13+F14</f>
        <v/>
      </c>
      <c r="H14" s="18">
        <f>D14*Assumptions!$B$18</f>
        <v/>
      </c>
      <c r="I14" s="7">
        <f>H14*Assumptions!$B$12</f>
        <v/>
      </c>
      <c r="J14" s="7">
        <f>J13+I14-B14</f>
        <v/>
      </c>
      <c r="K14">
        <f>IF(AND(A14&gt;=Assumptions!$B$16,G14&gt;=0),A14,"")</f>
        <v/>
      </c>
      <c r="L14">
        <f>IF(AND(A14&gt;=Assumptions!$B$16,J14&gt;=0),A14,"")</f>
        <v/>
      </c>
    </row>
    <row r="15">
      <c r="A15" t="n">
        <v>12</v>
      </c>
      <c r="B15" s="7">
        <f>IF(A15&lt;=Assumptions!$B$14,Budget!D14/Assumptions!$B$14,0)+IF(A15&lt;=Assumptions!$B$15,Budget!D15/Assumptions!$B$15,Assumptions!$B$13)</f>
        <v/>
      </c>
      <c r="C15" s="17">
        <f>IF(A15&lt;Assumptions!$B$16,0,IF(A15&gt;=Assumptions!$B$17,1,(A15-Assumptions!$B$16+1)/(Assumptions!$B$17-Assumptions!$B$16+1)))</f>
        <v/>
      </c>
      <c r="D15" s="18">
        <f>Assumptions!$B$26/12*C15</f>
        <v/>
      </c>
      <c r="E15" s="7">
        <f>D15*Assumptions!$B$12</f>
        <v/>
      </c>
      <c r="F15" s="7">
        <f>E15-B15</f>
        <v/>
      </c>
      <c r="G15" s="7">
        <f>G14+F15</f>
        <v/>
      </c>
      <c r="H15" s="18">
        <f>D15*Assumptions!$B$18</f>
        <v/>
      </c>
      <c r="I15" s="7">
        <f>H15*Assumptions!$B$12</f>
        <v/>
      </c>
      <c r="J15" s="7">
        <f>J14+I15-B15</f>
        <v/>
      </c>
      <c r="K15">
        <f>IF(AND(A15&gt;=Assumptions!$B$16,G15&gt;=0),A15,"")</f>
        <v/>
      </c>
      <c r="L15">
        <f>IF(AND(A15&gt;=Assumptions!$B$16,J15&gt;=0),A15,"")</f>
        <v/>
      </c>
    </row>
    <row r="16">
      <c r="A16" t="n">
        <v>13</v>
      </c>
      <c r="B16" s="7">
        <f>IF(A16&lt;=Assumptions!$B$14,Budget!D14/Assumptions!$B$14,0)+IF(A16&lt;=Assumptions!$B$15,Budget!D15/Assumptions!$B$15,Assumptions!$B$13)</f>
        <v/>
      </c>
      <c r="C16" s="17">
        <f>IF(A16&lt;Assumptions!$B$16,0,IF(A16&gt;=Assumptions!$B$17,1,(A16-Assumptions!$B$16+1)/(Assumptions!$B$17-Assumptions!$B$16+1)))</f>
        <v/>
      </c>
      <c r="D16" s="18">
        <f>Assumptions!$B$26/12*C16</f>
        <v/>
      </c>
      <c r="E16" s="7">
        <f>D16*Assumptions!$B$12</f>
        <v/>
      </c>
      <c r="F16" s="7">
        <f>E16-B16</f>
        <v/>
      </c>
      <c r="G16" s="7">
        <f>G15+F16</f>
        <v/>
      </c>
      <c r="H16" s="18">
        <f>D16*Assumptions!$B$18</f>
        <v/>
      </c>
      <c r="I16" s="7">
        <f>H16*Assumptions!$B$12</f>
        <v/>
      </c>
      <c r="J16" s="7">
        <f>J15+I16-B16</f>
        <v/>
      </c>
      <c r="K16">
        <f>IF(AND(A16&gt;=Assumptions!$B$16,G16&gt;=0),A16,"")</f>
        <v/>
      </c>
      <c r="L16">
        <f>IF(AND(A16&gt;=Assumptions!$B$16,J16&gt;=0),A16,"")</f>
        <v/>
      </c>
    </row>
    <row r="17">
      <c r="A17" t="n">
        <v>14</v>
      </c>
      <c r="B17" s="7">
        <f>IF(A17&lt;=Assumptions!$B$14,Budget!D14/Assumptions!$B$14,0)+IF(A17&lt;=Assumptions!$B$15,Budget!D15/Assumptions!$B$15,Assumptions!$B$13)</f>
        <v/>
      </c>
      <c r="C17" s="17">
        <f>IF(A17&lt;Assumptions!$B$16,0,IF(A17&gt;=Assumptions!$B$17,1,(A17-Assumptions!$B$16+1)/(Assumptions!$B$17-Assumptions!$B$16+1)))</f>
        <v/>
      </c>
      <c r="D17" s="18">
        <f>Assumptions!$B$26/12*C17</f>
        <v/>
      </c>
      <c r="E17" s="7">
        <f>D17*Assumptions!$B$12</f>
        <v/>
      </c>
      <c r="F17" s="7">
        <f>E17-B17</f>
        <v/>
      </c>
      <c r="G17" s="7">
        <f>G16+F17</f>
        <v/>
      </c>
      <c r="H17" s="18">
        <f>D17*Assumptions!$B$18</f>
        <v/>
      </c>
      <c r="I17" s="7">
        <f>H17*Assumptions!$B$12</f>
        <v/>
      </c>
      <c r="J17" s="7">
        <f>J16+I17-B17</f>
        <v/>
      </c>
      <c r="K17">
        <f>IF(AND(A17&gt;=Assumptions!$B$16,G17&gt;=0),A17,"")</f>
        <v/>
      </c>
      <c r="L17">
        <f>IF(AND(A17&gt;=Assumptions!$B$16,J17&gt;=0),A17,"")</f>
        <v/>
      </c>
    </row>
    <row r="18">
      <c r="A18" t="n">
        <v>15</v>
      </c>
      <c r="B18" s="7">
        <f>IF(A18&lt;=Assumptions!$B$14,Budget!D14/Assumptions!$B$14,0)+IF(A18&lt;=Assumptions!$B$15,Budget!D15/Assumptions!$B$15,Assumptions!$B$13)</f>
        <v/>
      </c>
      <c r="C18" s="17">
        <f>IF(A18&lt;Assumptions!$B$16,0,IF(A18&gt;=Assumptions!$B$17,1,(A18-Assumptions!$B$16+1)/(Assumptions!$B$17-Assumptions!$B$16+1)))</f>
        <v/>
      </c>
      <c r="D18" s="18">
        <f>Assumptions!$B$26/12*C18</f>
        <v/>
      </c>
      <c r="E18" s="7">
        <f>D18*Assumptions!$B$12</f>
        <v/>
      </c>
      <c r="F18" s="7">
        <f>E18-B18</f>
        <v/>
      </c>
      <c r="G18" s="7">
        <f>G17+F18</f>
        <v/>
      </c>
      <c r="H18" s="18">
        <f>D18*Assumptions!$B$18</f>
        <v/>
      </c>
      <c r="I18" s="7">
        <f>H18*Assumptions!$B$12</f>
        <v/>
      </c>
      <c r="J18" s="7">
        <f>J17+I18-B18</f>
        <v/>
      </c>
      <c r="K18">
        <f>IF(AND(A18&gt;=Assumptions!$B$16,G18&gt;=0),A18,"")</f>
        <v/>
      </c>
      <c r="L18">
        <f>IF(AND(A18&gt;=Assumptions!$B$16,J18&gt;=0),A18,"")</f>
        <v/>
      </c>
    </row>
    <row r="19">
      <c r="A19" t="n">
        <v>16</v>
      </c>
      <c r="B19" s="7">
        <f>IF(A19&lt;=Assumptions!$B$14,Budget!D14/Assumptions!$B$14,0)+IF(A19&lt;=Assumptions!$B$15,Budget!D15/Assumptions!$B$15,Assumptions!$B$13)</f>
        <v/>
      </c>
      <c r="C19" s="17">
        <f>IF(A19&lt;Assumptions!$B$16,0,IF(A19&gt;=Assumptions!$B$17,1,(A19-Assumptions!$B$16+1)/(Assumptions!$B$17-Assumptions!$B$16+1)))</f>
        <v/>
      </c>
      <c r="D19" s="18">
        <f>Assumptions!$B$26/12*C19</f>
        <v/>
      </c>
      <c r="E19" s="7">
        <f>D19*Assumptions!$B$12</f>
        <v/>
      </c>
      <c r="F19" s="7">
        <f>E19-B19</f>
        <v/>
      </c>
      <c r="G19" s="7">
        <f>G18+F19</f>
        <v/>
      </c>
      <c r="H19" s="18">
        <f>D19*Assumptions!$B$18</f>
        <v/>
      </c>
      <c r="I19" s="7">
        <f>H19*Assumptions!$B$12</f>
        <v/>
      </c>
      <c r="J19" s="7">
        <f>J18+I19-B19</f>
        <v/>
      </c>
      <c r="K19">
        <f>IF(AND(A19&gt;=Assumptions!$B$16,G19&gt;=0),A19,"")</f>
        <v/>
      </c>
      <c r="L19">
        <f>IF(AND(A19&gt;=Assumptions!$B$16,J19&gt;=0),A19,"")</f>
        <v/>
      </c>
    </row>
    <row r="20">
      <c r="A20" t="n">
        <v>17</v>
      </c>
      <c r="B20" s="7">
        <f>IF(A20&lt;=Assumptions!$B$14,Budget!D14/Assumptions!$B$14,0)+IF(A20&lt;=Assumptions!$B$15,Budget!D15/Assumptions!$B$15,Assumptions!$B$13)</f>
        <v/>
      </c>
      <c r="C20" s="17">
        <f>IF(A20&lt;Assumptions!$B$16,0,IF(A20&gt;=Assumptions!$B$17,1,(A20-Assumptions!$B$16+1)/(Assumptions!$B$17-Assumptions!$B$16+1)))</f>
        <v/>
      </c>
      <c r="D20" s="18">
        <f>Assumptions!$B$26/12*C20</f>
        <v/>
      </c>
      <c r="E20" s="7">
        <f>D20*Assumptions!$B$12</f>
        <v/>
      </c>
      <c r="F20" s="7">
        <f>E20-B20</f>
        <v/>
      </c>
      <c r="G20" s="7">
        <f>G19+F20</f>
        <v/>
      </c>
      <c r="H20" s="18">
        <f>D20*Assumptions!$B$18</f>
        <v/>
      </c>
      <c r="I20" s="7">
        <f>H20*Assumptions!$B$12</f>
        <v/>
      </c>
      <c r="J20" s="7">
        <f>J19+I20-B20</f>
        <v/>
      </c>
      <c r="K20">
        <f>IF(AND(A20&gt;=Assumptions!$B$16,G20&gt;=0),A20,"")</f>
        <v/>
      </c>
      <c r="L20">
        <f>IF(AND(A20&gt;=Assumptions!$B$16,J20&gt;=0),A20,"")</f>
        <v/>
      </c>
    </row>
    <row r="21">
      <c r="A21" t="n">
        <v>18</v>
      </c>
      <c r="B21" s="7">
        <f>IF(A21&lt;=Assumptions!$B$14,Budget!D14/Assumptions!$B$14,0)+IF(A21&lt;=Assumptions!$B$15,Budget!D15/Assumptions!$B$15,Assumptions!$B$13)</f>
        <v/>
      </c>
      <c r="C21" s="17">
        <f>IF(A21&lt;Assumptions!$B$16,0,IF(A21&gt;=Assumptions!$B$17,1,(A21-Assumptions!$B$16+1)/(Assumptions!$B$17-Assumptions!$B$16+1)))</f>
        <v/>
      </c>
      <c r="D21" s="18">
        <f>Assumptions!$B$26/12*C21</f>
        <v/>
      </c>
      <c r="E21" s="7">
        <f>D21*Assumptions!$B$12</f>
        <v/>
      </c>
      <c r="F21" s="7">
        <f>E21-B21</f>
        <v/>
      </c>
      <c r="G21" s="7">
        <f>G20+F21</f>
        <v/>
      </c>
      <c r="H21" s="18">
        <f>D21*Assumptions!$B$18</f>
        <v/>
      </c>
      <c r="I21" s="7">
        <f>H21*Assumptions!$B$12</f>
        <v/>
      </c>
      <c r="J21" s="7">
        <f>J20+I21-B21</f>
        <v/>
      </c>
      <c r="K21">
        <f>IF(AND(A21&gt;=Assumptions!$B$16,G21&gt;=0),A21,"")</f>
        <v/>
      </c>
      <c r="L21">
        <f>IF(AND(A21&gt;=Assumptions!$B$16,J21&gt;=0),A21,"")</f>
        <v/>
      </c>
    </row>
    <row r="22">
      <c r="A22" t="n">
        <v>19</v>
      </c>
      <c r="B22" s="7">
        <f>IF(A22&lt;=Assumptions!$B$14,Budget!D14/Assumptions!$B$14,0)+IF(A22&lt;=Assumptions!$B$15,Budget!D15/Assumptions!$B$15,Assumptions!$B$13)</f>
        <v/>
      </c>
      <c r="C22" s="17">
        <f>IF(A22&lt;Assumptions!$B$16,0,IF(A22&gt;=Assumptions!$B$17,1,(A22-Assumptions!$B$16+1)/(Assumptions!$B$17-Assumptions!$B$16+1)))</f>
        <v/>
      </c>
      <c r="D22" s="18">
        <f>Assumptions!$B$26/12*C22</f>
        <v/>
      </c>
      <c r="E22" s="7">
        <f>D22*Assumptions!$B$12</f>
        <v/>
      </c>
      <c r="F22" s="7">
        <f>E22-B22</f>
        <v/>
      </c>
      <c r="G22" s="7">
        <f>G21+F22</f>
        <v/>
      </c>
      <c r="H22" s="18">
        <f>D22*Assumptions!$B$18</f>
        <v/>
      </c>
      <c r="I22" s="7">
        <f>H22*Assumptions!$B$12</f>
        <v/>
      </c>
      <c r="J22" s="7">
        <f>J21+I22-B22</f>
        <v/>
      </c>
      <c r="K22">
        <f>IF(AND(A22&gt;=Assumptions!$B$16,G22&gt;=0),A22,"")</f>
        <v/>
      </c>
      <c r="L22">
        <f>IF(AND(A22&gt;=Assumptions!$B$16,J22&gt;=0),A22,"")</f>
        <v/>
      </c>
    </row>
    <row r="23">
      <c r="A23" t="n">
        <v>20</v>
      </c>
      <c r="B23" s="7">
        <f>IF(A23&lt;=Assumptions!$B$14,Budget!D14/Assumptions!$B$14,0)+IF(A23&lt;=Assumptions!$B$15,Budget!D15/Assumptions!$B$15,Assumptions!$B$13)</f>
        <v/>
      </c>
      <c r="C23" s="17">
        <f>IF(A23&lt;Assumptions!$B$16,0,IF(A23&gt;=Assumptions!$B$17,1,(A23-Assumptions!$B$16+1)/(Assumptions!$B$17-Assumptions!$B$16+1)))</f>
        <v/>
      </c>
      <c r="D23" s="18">
        <f>Assumptions!$B$26/12*C23</f>
        <v/>
      </c>
      <c r="E23" s="7">
        <f>D23*Assumptions!$B$12</f>
        <v/>
      </c>
      <c r="F23" s="7">
        <f>E23-B23</f>
        <v/>
      </c>
      <c r="G23" s="7">
        <f>G22+F23</f>
        <v/>
      </c>
      <c r="H23" s="18">
        <f>D23*Assumptions!$B$18</f>
        <v/>
      </c>
      <c r="I23" s="7">
        <f>H23*Assumptions!$B$12</f>
        <v/>
      </c>
      <c r="J23" s="7">
        <f>J22+I23-B23</f>
        <v/>
      </c>
      <c r="K23">
        <f>IF(AND(A23&gt;=Assumptions!$B$16,G23&gt;=0),A23,"")</f>
        <v/>
      </c>
      <c r="L23">
        <f>IF(AND(A23&gt;=Assumptions!$B$16,J23&gt;=0),A23,"")</f>
        <v/>
      </c>
    </row>
    <row r="24">
      <c r="A24" t="n">
        <v>21</v>
      </c>
      <c r="B24" s="7">
        <f>IF(A24&lt;=Assumptions!$B$14,Budget!D14/Assumptions!$B$14,0)+IF(A24&lt;=Assumptions!$B$15,Budget!D15/Assumptions!$B$15,Assumptions!$B$13)</f>
        <v/>
      </c>
      <c r="C24" s="17">
        <f>IF(A24&lt;Assumptions!$B$16,0,IF(A24&gt;=Assumptions!$B$17,1,(A24-Assumptions!$B$16+1)/(Assumptions!$B$17-Assumptions!$B$16+1)))</f>
        <v/>
      </c>
      <c r="D24" s="18">
        <f>Assumptions!$B$26/12*C24</f>
        <v/>
      </c>
      <c r="E24" s="7">
        <f>D24*Assumptions!$B$12</f>
        <v/>
      </c>
      <c r="F24" s="7">
        <f>E24-B24</f>
        <v/>
      </c>
      <c r="G24" s="7">
        <f>G23+F24</f>
        <v/>
      </c>
      <c r="H24" s="18">
        <f>D24*Assumptions!$B$18</f>
        <v/>
      </c>
      <c r="I24" s="7">
        <f>H24*Assumptions!$B$12</f>
        <v/>
      </c>
      <c r="J24" s="7">
        <f>J23+I24-B24</f>
        <v/>
      </c>
      <c r="K24">
        <f>IF(AND(A24&gt;=Assumptions!$B$16,G24&gt;=0),A24,"")</f>
        <v/>
      </c>
      <c r="L24">
        <f>IF(AND(A24&gt;=Assumptions!$B$16,J24&gt;=0),A24,"")</f>
        <v/>
      </c>
    </row>
    <row r="25">
      <c r="A25" t="n">
        <v>22</v>
      </c>
      <c r="B25" s="7">
        <f>IF(A25&lt;=Assumptions!$B$14,Budget!D14/Assumptions!$B$14,0)+IF(A25&lt;=Assumptions!$B$15,Budget!D15/Assumptions!$B$15,Assumptions!$B$13)</f>
        <v/>
      </c>
      <c r="C25" s="17">
        <f>IF(A25&lt;Assumptions!$B$16,0,IF(A25&gt;=Assumptions!$B$17,1,(A25-Assumptions!$B$16+1)/(Assumptions!$B$17-Assumptions!$B$16+1)))</f>
        <v/>
      </c>
      <c r="D25" s="18">
        <f>Assumptions!$B$26/12*C25</f>
        <v/>
      </c>
      <c r="E25" s="7">
        <f>D25*Assumptions!$B$12</f>
        <v/>
      </c>
      <c r="F25" s="7">
        <f>E25-B25</f>
        <v/>
      </c>
      <c r="G25" s="7">
        <f>G24+F25</f>
        <v/>
      </c>
      <c r="H25" s="18">
        <f>D25*Assumptions!$B$18</f>
        <v/>
      </c>
      <c r="I25" s="7">
        <f>H25*Assumptions!$B$12</f>
        <v/>
      </c>
      <c r="J25" s="7">
        <f>J24+I25-B25</f>
        <v/>
      </c>
      <c r="K25">
        <f>IF(AND(A25&gt;=Assumptions!$B$16,G25&gt;=0),A25,"")</f>
        <v/>
      </c>
      <c r="L25">
        <f>IF(AND(A25&gt;=Assumptions!$B$16,J25&gt;=0),A25,"")</f>
        <v/>
      </c>
    </row>
    <row r="26">
      <c r="A26" t="n">
        <v>23</v>
      </c>
      <c r="B26" s="7">
        <f>IF(A26&lt;=Assumptions!$B$14,Budget!D14/Assumptions!$B$14,0)+IF(A26&lt;=Assumptions!$B$15,Budget!D15/Assumptions!$B$15,Assumptions!$B$13)</f>
        <v/>
      </c>
      <c r="C26" s="17">
        <f>IF(A26&lt;Assumptions!$B$16,0,IF(A26&gt;=Assumptions!$B$17,1,(A26-Assumptions!$B$16+1)/(Assumptions!$B$17-Assumptions!$B$16+1)))</f>
        <v/>
      </c>
      <c r="D26" s="18">
        <f>Assumptions!$B$26/12*C26</f>
        <v/>
      </c>
      <c r="E26" s="7">
        <f>D26*Assumptions!$B$12</f>
        <v/>
      </c>
      <c r="F26" s="7">
        <f>E26-B26</f>
        <v/>
      </c>
      <c r="G26" s="7">
        <f>G25+F26</f>
        <v/>
      </c>
      <c r="H26" s="18">
        <f>D26*Assumptions!$B$18</f>
        <v/>
      </c>
      <c r="I26" s="7">
        <f>H26*Assumptions!$B$12</f>
        <v/>
      </c>
      <c r="J26" s="7">
        <f>J25+I26-B26</f>
        <v/>
      </c>
      <c r="K26">
        <f>IF(AND(A26&gt;=Assumptions!$B$16,G26&gt;=0),A26,"")</f>
        <v/>
      </c>
      <c r="L26">
        <f>IF(AND(A26&gt;=Assumptions!$B$16,J26&gt;=0),A26,"")</f>
        <v/>
      </c>
    </row>
    <row r="27">
      <c r="A27" t="n">
        <v>24</v>
      </c>
      <c r="B27" s="7">
        <f>IF(A27&lt;=Assumptions!$B$14,Budget!D14/Assumptions!$B$14,0)+IF(A27&lt;=Assumptions!$B$15,Budget!D15/Assumptions!$B$15,Assumptions!$B$13)</f>
        <v/>
      </c>
      <c r="C27" s="17">
        <f>IF(A27&lt;Assumptions!$B$16,0,IF(A27&gt;=Assumptions!$B$17,1,(A27-Assumptions!$B$16+1)/(Assumptions!$B$17-Assumptions!$B$16+1)))</f>
        <v/>
      </c>
      <c r="D27" s="18">
        <f>Assumptions!$B$26/12*C27</f>
        <v/>
      </c>
      <c r="E27" s="7">
        <f>D27*Assumptions!$B$12</f>
        <v/>
      </c>
      <c r="F27" s="7">
        <f>E27-B27</f>
        <v/>
      </c>
      <c r="G27" s="7">
        <f>G26+F27</f>
        <v/>
      </c>
      <c r="H27" s="18">
        <f>D27*Assumptions!$B$18</f>
        <v/>
      </c>
      <c r="I27" s="7">
        <f>H27*Assumptions!$B$12</f>
        <v/>
      </c>
      <c r="J27" s="7">
        <f>J26+I27-B27</f>
        <v/>
      </c>
      <c r="K27">
        <f>IF(AND(A27&gt;=Assumptions!$B$16,G27&gt;=0),A27,"")</f>
        <v/>
      </c>
      <c r="L27">
        <f>IF(AND(A27&gt;=Assumptions!$B$16,J27&gt;=0),A27,"")</f>
        <v/>
      </c>
    </row>
    <row r="28">
      <c r="A28" t="n">
        <v>25</v>
      </c>
      <c r="B28" s="7">
        <f>IF(A28&lt;=Assumptions!$B$14,Budget!D14/Assumptions!$B$14,0)+IF(A28&lt;=Assumptions!$B$15,Budget!D15/Assumptions!$B$15,Assumptions!$B$13)</f>
        <v/>
      </c>
      <c r="C28" s="17">
        <f>IF(A28&lt;Assumptions!$B$16,0,IF(A28&gt;=Assumptions!$B$17,1,(A28-Assumptions!$B$16+1)/(Assumptions!$B$17-Assumptions!$B$16+1)))</f>
        <v/>
      </c>
      <c r="D28" s="18">
        <f>Assumptions!$B$26/12*C28</f>
        <v/>
      </c>
      <c r="E28" s="7">
        <f>D28*Assumptions!$B$12</f>
        <v/>
      </c>
      <c r="F28" s="7">
        <f>E28-B28</f>
        <v/>
      </c>
      <c r="G28" s="7">
        <f>G27+F28</f>
        <v/>
      </c>
      <c r="H28" s="18">
        <f>D28*Assumptions!$B$18</f>
        <v/>
      </c>
      <c r="I28" s="7">
        <f>H28*Assumptions!$B$12</f>
        <v/>
      </c>
      <c r="J28" s="7">
        <f>J27+I28-B28</f>
        <v/>
      </c>
      <c r="K28">
        <f>IF(AND(A28&gt;=Assumptions!$B$16,G28&gt;=0),A28,"")</f>
        <v/>
      </c>
      <c r="L28">
        <f>IF(AND(A28&gt;=Assumptions!$B$16,J28&gt;=0),A28,"")</f>
        <v/>
      </c>
    </row>
    <row r="29">
      <c r="A29" t="n">
        <v>26</v>
      </c>
      <c r="B29" s="7">
        <f>IF(A29&lt;=Assumptions!$B$14,Budget!D14/Assumptions!$B$14,0)+IF(A29&lt;=Assumptions!$B$15,Budget!D15/Assumptions!$B$15,Assumptions!$B$13)</f>
        <v/>
      </c>
      <c r="C29" s="17">
        <f>IF(A29&lt;Assumptions!$B$16,0,IF(A29&gt;=Assumptions!$B$17,1,(A29-Assumptions!$B$16+1)/(Assumptions!$B$17-Assumptions!$B$16+1)))</f>
        <v/>
      </c>
      <c r="D29" s="18">
        <f>Assumptions!$B$26/12*C29</f>
        <v/>
      </c>
      <c r="E29" s="7">
        <f>D29*Assumptions!$B$12</f>
        <v/>
      </c>
      <c r="F29" s="7">
        <f>E29-B29</f>
        <v/>
      </c>
      <c r="G29" s="7">
        <f>G28+F29</f>
        <v/>
      </c>
      <c r="H29" s="18">
        <f>D29*Assumptions!$B$18</f>
        <v/>
      </c>
      <c r="I29" s="7">
        <f>H29*Assumptions!$B$12</f>
        <v/>
      </c>
      <c r="J29" s="7">
        <f>J28+I29-B29</f>
        <v/>
      </c>
      <c r="K29">
        <f>IF(AND(A29&gt;=Assumptions!$B$16,G29&gt;=0),A29,"")</f>
        <v/>
      </c>
      <c r="L29">
        <f>IF(AND(A29&gt;=Assumptions!$B$16,J29&gt;=0),A29,"")</f>
        <v/>
      </c>
    </row>
    <row r="30">
      <c r="A30" t="n">
        <v>27</v>
      </c>
      <c r="B30" s="7">
        <f>IF(A30&lt;=Assumptions!$B$14,Budget!D14/Assumptions!$B$14,0)+IF(A30&lt;=Assumptions!$B$15,Budget!D15/Assumptions!$B$15,Assumptions!$B$13)</f>
        <v/>
      </c>
      <c r="C30" s="17">
        <f>IF(A30&lt;Assumptions!$B$16,0,IF(A30&gt;=Assumptions!$B$17,1,(A30-Assumptions!$B$16+1)/(Assumptions!$B$17-Assumptions!$B$16+1)))</f>
        <v/>
      </c>
      <c r="D30" s="18">
        <f>Assumptions!$B$26/12*C30</f>
        <v/>
      </c>
      <c r="E30" s="7">
        <f>D30*Assumptions!$B$12</f>
        <v/>
      </c>
      <c r="F30" s="7">
        <f>E30-B30</f>
        <v/>
      </c>
      <c r="G30" s="7">
        <f>G29+F30</f>
        <v/>
      </c>
      <c r="H30" s="18">
        <f>D30*Assumptions!$B$18</f>
        <v/>
      </c>
      <c r="I30" s="7">
        <f>H30*Assumptions!$B$12</f>
        <v/>
      </c>
      <c r="J30" s="7">
        <f>J29+I30-B30</f>
        <v/>
      </c>
      <c r="K30">
        <f>IF(AND(A30&gt;=Assumptions!$B$16,G30&gt;=0),A30,"")</f>
        <v/>
      </c>
      <c r="L30">
        <f>IF(AND(A30&gt;=Assumptions!$B$16,J30&gt;=0),A30,"")</f>
        <v/>
      </c>
    </row>
    <row r="31">
      <c r="A31" t="n">
        <v>28</v>
      </c>
      <c r="B31" s="7">
        <f>IF(A31&lt;=Assumptions!$B$14,Budget!D14/Assumptions!$B$14,0)+IF(A31&lt;=Assumptions!$B$15,Budget!D15/Assumptions!$B$15,Assumptions!$B$13)</f>
        <v/>
      </c>
      <c r="C31" s="17">
        <f>IF(A31&lt;Assumptions!$B$16,0,IF(A31&gt;=Assumptions!$B$17,1,(A31-Assumptions!$B$16+1)/(Assumptions!$B$17-Assumptions!$B$16+1)))</f>
        <v/>
      </c>
      <c r="D31" s="18">
        <f>Assumptions!$B$26/12*C31</f>
        <v/>
      </c>
      <c r="E31" s="7">
        <f>D31*Assumptions!$B$12</f>
        <v/>
      </c>
      <c r="F31" s="7">
        <f>E31-B31</f>
        <v/>
      </c>
      <c r="G31" s="7">
        <f>G30+F31</f>
        <v/>
      </c>
      <c r="H31" s="18">
        <f>D31*Assumptions!$B$18</f>
        <v/>
      </c>
      <c r="I31" s="7">
        <f>H31*Assumptions!$B$12</f>
        <v/>
      </c>
      <c r="J31" s="7">
        <f>J30+I31-B31</f>
        <v/>
      </c>
      <c r="K31">
        <f>IF(AND(A31&gt;=Assumptions!$B$16,G31&gt;=0),A31,"")</f>
        <v/>
      </c>
      <c r="L31">
        <f>IF(AND(A31&gt;=Assumptions!$B$16,J31&gt;=0),A31,"")</f>
        <v/>
      </c>
    </row>
    <row r="32">
      <c r="A32" t="n">
        <v>29</v>
      </c>
      <c r="B32" s="7">
        <f>IF(A32&lt;=Assumptions!$B$14,Budget!D14/Assumptions!$B$14,0)+IF(A32&lt;=Assumptions!$B$15,Budget!D15/Assumptions!$B$15,Assumptions!$B$13)</f>
        <v/>
      </c>
      <c r="C32" s="17">
        <f>IF(A32&lt;Assumptions!$B$16,0,IF(A32&gt;=Assumptions!$B$17,1,(A32-Assumptions!$B$16+1)/(Assumptions!$B$17-Assumptions!$B$16+1)))</f>
        <v/>
      </c>
      <c r="D32" s="18">
        <f>Assumptions!$B$26/12*C32</f>
        <v/>
      </c>
      <c r="E32" s="7">
        <f>D32*Assumptions!$B$12</f>
        <v/>
      </c>
      <c r="F32" s="7">
        <f>E32-B32</f>
        <v/>
      </c>
      <c r="G32" s="7">
        <f>G31+F32</f>
        <v/>
      </c>
      <c r="H32" s="18">
        <f>D32*Assumptions!$B$18</f>
        <v/>
      </c>
      <c r="I32" s="7">
        <f>H32*Assumptions!$B$12</f>
        <v/>
      </c>
      <c r="J32" s="7">
        <f>J31+I32-B32</f>
        <v/>
      </c>
      <c r="K32">
        <f>IF(AND(A32&gt;=Assumptions!$B$16,G32&gt;=0),A32,"")</f>
        <v/>
      </c>
      <c r="L32">
        <f>IF(AND(A32&gt;=Assumptions!$B$16,J32&gt;=0),A32,"")</f>
        <v/>
      </c>
    </row>
    <row r="33">
      <c r="A33" t="n">
        <v>30</v>
      </c>
      <c r="B33" s="7">
        <f>IF(A33&lt;=Assumptions!$B$14,Budget!D14/Assumptions!$B$14,0)+IF(A33&lt;=Assumptions!$B$15,Budget!D15/Assumptions!$B$15,Assumptions!$B$13)</f>
        <v/>
      </c>
      <c r="C33" s="17">
        <f>IF(A33&lt;Assumptions!$B$16,0,IF(A33&gt;=Assumptions!$B$17,1,(A33-Assumptions!$B$16+1)/(Assumptions!$B$17-Assumptions!$B$16+1)))</f>
        <v/>
      </c>
      <c r="D33" s="18">
        <f>Assumptions!$B$26/12*C33</f>
        <v/>
      </c>
      <c r="E33" s="7">
        <f>D33*Assumptions!$B$12</f>
        <v/>
      </c>
      <c r="F33" s="7">
        <f>E33-B33</f>
        <v/>
      </c>
      <c r="G33" s="7">
        <f>G32+F33</f>
        <v/>
      </c>
      <c r="H33" s="18">
        <f>D33*Assumptions!$B$18</f>
        <v/>
      </c>
      <c r="I33" s="7">
        <f>H33*Assumptions!$B$12</f>
        <v/>
      </c>
      <c r="J33" s="7">
        <f>J32+I33-B33</f>
        <v/>
      </c>
      <c r="K33">
        <f>IF(AND(A33&gt;=Assumptions!$B$16,G33&gt;=0),A33,"")</f>
        <v/>
      </c>
      <c r="L33">
        <f>IF(AND(A33&gt;=Assumptions!$B$16,J33&gt;=0),A33,"")</f>
        <v/>
      </c>
    </row>
    <row r="34">
      <c r="A34" t="n">
        <v>31</v>
      </c>
      <c r="B34" s="7">
        <f>IF(A34&lt;=Assumptions!$B$14,Budget!D14/Assumptions!$B$14,0)+IF(A34&lt;=Assumptions!$B$15,Budget!D15/Assumptions!$B$15,Assumptions!$B$13)</f>
        <v/>
      </c>
      <c r="C34" s="17">
        <f>IF(A34&lt;Assumptions!$B$16,0,IF(A34&gt;=Assumptions!$B$17,1,(A34-Assumptions!$B$16+1)/(Assumptions!$B$17-Assumptions!$B$16+1)))</f>
        <v/>
      </c>
      <c r="D34" s="18">
        <f>Assumptions!$B$26/12*C34</f>
        <v/>
      </c>
      <c r="E34" s="7">
        <f>D34*Assumptions!$B$12</f>
        <v/>
      </c>
      <c r="F34" s="7">
        <f>E34-B34</f>
        <v/>
      </c>
      <c r="G34" s="7">
        <f>G33+F34</f>
        <v/>
      </c>
      <c r="H34" s="18">
        <f>D34*Assumptions!$B$18</f>
        <v/>
      </c>
      <c r="I34" s="7">
        <f>H34*Assumptions!$B$12</f>
        <v/>
      </c>
      <c r="J34" s="7">
        <f>J33+I34-B34</f>
        <v/>
      </c>
      <c r="K34">
        <f>IF(AND(A34&gt;=Assumptions!$B$16,G34&gt;=0),A34,"")</f>
        <v/>
      </c>
      <c r="L34">
        <f>IF(AND(A34&gt;=Assumptions!$B$16,J34&gt;=0),A34,"")</f>
        <v/>
      </c>
    </row>
    <row r="35">
      <c r="A35" t="n">
        <v>32</v>
      </c>
      <c r="B35" s="7">
        <f>IF(A35&lt;=Assumptions!$B$14,Budget!D14/Assumptions!$B$14,0)+IF(A35&lt;=Assumptions!$B$15,Budget!D15/Assumptions!$B$15,Assumptions!$B$13)</f>
        <v/>
      </c>
      <c r="C35" s="17">
        <f>IF(A35&lt;Assumptions!$B$16,0,IF(A35&gt;=Assumptions!$B$17,1,(A35-Assumptions!$B$16+1)/(Assumptions!$B$17-Assumptions!$B$16+1)))</f>
        <v/>
      </c>
      <c r="D35" s="18">
        <f>Assumptions!$B$26/12*C35</f>
        <v/>
      </c>
      <c r="E35" s="7">
        <f>D35*Assumptions!$B$12</f>
        <v/>
      </c>
      <c r="F35" s="7">
        <f>E35-B35</f>
        <v/>
      </c>
      <c r="G35" s="7">
        <f>G34+F35</f>
        <v/>
      </c>
      <c r="H35" s="18">
        <f>D35*Assumptions!$B$18</f>
        <v/>
      </c>
      <c r="I35" s="7">
        <f>H35*Assumptions!$B$12</f>
        <v/>
      </c>
      <c r="J35" s="7">
        <f>J34+I35-B35</f>
        <v/>
      </c>
      <c r="K35">
        <f>IF(AND(A35&gt;=Assumptions!$B$16,G35&gt;=0),A35,"")</f>
        <v/>
      </c>
      <c r="L35">
        <f>IF(AND(A35&gt;=Assumptions!$B$16,J35&gt;=0),A35,"")</f>
        <v/>
      </c>
    </row>
    <row r="36">
      <c r="A36" t="n">
        <v>33</v>
      </c>
      <c r="B36" s="7">
        <f>IF(A36&lt;=Assumptions!$B$14,Budget!D14/Assumptions!$B$14,0)+IF(A36&lt;=Assumptions!$B$15,Budget!D15/Assumptions!$B$15,Assumptions!$B$13)</f>
        <v/>
      </c>
      <c r="C36" s="17">
        <f>IF(A36&lt;Assumptions!$B$16,0,IF(A36&gt;=Assumptions!$B$17,1,(A36-Assumptions!$B$16+1)/(Assumptions!$B$17-Assumptions!$B$16+1)))</f>
        <v/>
      </c>
      <c r="D36" s="18">
        <f>Assumptions!$B$26/12*C36</f>
        <v/>
      </c>
      <c r="E36" s="7">
        <f>D36*Assumptions!$B$12</f>
        <v/>
      </c>
      <c r="F36" s="7">
        <f>E36-B36</f>
        <v/>
      </c>
      <c r="G36" s="7">
        <f>G35+F36</f>
        <v/>
      </c>
      <c r="H36" s="18">
        <f>D36*Assumptions!$B$18</f>
        <v/>
      </c>
      <c r="I36" s="7">
        <f>H36*Assumptions!$B$12</f>
        <v/>
      </c>
      <c r="J36" s="7">
        <f>J35+I36-B36</f>
        <v/>
      </c>
      <c r="K36">
        <f>IF(AND(A36&gt;=Assumptions!$B$16,G36&gt;=0),A36,"")</f>
        <v/>
      </c>
      <c r="L36">
        <f>IF(AND(A36&gt;=Assumptions!$B$16,J36&gt;=0),A36,"")</f>
        <v/>
      </c>
    </row>
    <row r="37">
      <c r="A37" t="n">
        <v>34</v>
      </c>
      <c r="B37" s="7">
        <f>IF(A37&lt;=Assumptions!$B$14,Budget!D14/Assumptions!$B$14,0)+IF(A37&lt;=Assumptions!$B$15,Budget!D15/Assumptions!$B$15,Assumptions!$B$13)</f>
        <v/>
      </c>
      <c r="C37" s="17">
        <f>IF(A37&lt;Assumptions!$B$16,0,IF(A37&gt;=Assumptions!$B$17,1,(A37-Assumptions!$B$16+1)/(Assumptions!$B$17-Assumptions!$B$16+1)))</f>
        <v/>
      </c>
      <c r="D37" s="18">
        <f>Assumptions!$B$26/12*C37</f>
        <v/>
      </c>
      <c r="E37" s="7">
        <f>D37*Assumptions!$B$12</f>
        <v/>
      </c>
      <c r="F37" s="7">
        <f>E37-B37</f>
        <v/>
      </c>
      <c r="G37" s="7">
        <f>G36+F37</f>
        <v/>
      </c>
      <c r="H37" s="18">
        <f>D37*Assumptions!$B$18</f>
        <v/>
      </c>
      <c r="I37" s="7">
        <f>H37*Assumptions!$B$12</f>
        <v/>
      </c>
      <c r="J37" s="7">
        <f>J36+I37-B37</f>
        <v/>
      </c>
      <c r="K37">
        <f>IF(AND(A37&gt;=Assumptions!$B$16,G37&gt;=0),A37,"")</f>
        <v/>
      </c>
      <c r="L37">
        <f>IF(AND(A37&gt;=Assumptions!$B$16,J37&gt;=0),A37,"")</f>
        <v/>
      </c>
    </row>
    <row r="38">
      <c r="A38" t="n">
        <v>35</v>
      </c>
      <c r="B38" s="7">
        <f>IF(A38&lt;=Assumptions!$B$14,Budget!D14/Assumptions!$B$14,0)+IF(A38&lt;=Assumptions!$B$15,Budget!D15/Assumptions!$B$15,Assumptions!$B$13)</f>
        <v/>
      </c>
      <c r="C38" s="17">
        <f>IF(A38&lt;Assumptions!$B$16,0,IF(A38&gt;=Assumptions!$B$17,1,(A38-Assumptions!$B$16+1)/(Assumptions!$B$17-Assumptions!$B$16+1)))</f>
        <v/>
      </c>
      <c r="D38" s="18">
        <f>Assumptions!$B$26/12*C38</f>
        <v/>
      </c>
      <c r="E38" s="7">
        <f>D38*Assumptions!$B$12</f>
        <v/>
      </c>
      <c r="F38" s="7">
        <f>E38-B38</f>
        <v/>
      </c>
      <c r="G38" s="7">
        <f>G37+F38</f>
        <v/>
      </c>
      <c r="H38" s="18">
        <f>D38*Assumptions!$B$18</f>
        <v/>
      </c>
      <c r="I38" s="7">
        <f>H38*Assumptions!$B$12</f>
        <v/>
      </c>
      <c r="J38" s="7">
        <f>J37+I38-B38</f>
        <v/>
      </c>
      <c r="K38">
        <f>IF(AND(A38&gt;=Assumptions!$B$16,G38&gt;=0),A38,"")</f>
        <v/>
      </c>
      <c r="L38">
        <f>IF(AND(A38&gt;=Assumptions!$B$16,J38&gt;=0),A38,"")</f>
        <v/>
      </c>
    </row>
    <row r="39">
      <c r="A39" t="n">
        <v>36</v>
      </c>
      <c r="B39" s="7">
        <f>IF(A39&lt;=Assumptions!$B$14,Budget!D14/Assumptions!$B$14,0)+IF(A39&lt;=Assumptions!$B$15,Budget!D15/Assumptions!$B$15,Assumptions!$B$13)</f>
        <v/>
      </c>
      <c r="C39" s="17">
        <f>IF(A39&lt;Assumptions!$B$16,0,IF(A39&gt;=Assumptions!$B$17,1,(A39-Assumptions!$B$16+1)/(Assumptions!$B$17-Assumptions!$B$16+1)))</f>
        <v/>
      </c>
      <c r="D39" s="18">
        <f>Assumptions!$B$26/12*C39</f>
        <v/>
      </c>
      <c r="E39" s="7">
        <f>D39*Assumptions!$B$12</f>
        <v/>
      </c>
      <c r="F39" s="7">
        <f>E39-B39</f>
        <v/>
      </c>
      <c r="G39" s="7">
        <f>G38+F39</f>
        <v/>
      </c>
      <c r="H39" s="18">
        <f>D39*Assumptions!$B$18</f>
        <v/>
      </c>
      <c r="I39" s="7">
        <f>H39*Assumptions!$B$12</f>
        <v/>
      </c>
      <c r="J39" s="7">
        <f>J38+I39-B39</f>
        <v/>
      </c>
      <c r="K39">
        <f>IF(AND(A39&gt;=Assumptions!$B$16,G39&gt;=0),A39,"")</f>
        <v/>
      </c>
      <c r="L39">
        <f>IF(AND(A39&gt;=Assumptions!$B$16,J39&gt;=0),A39,"")</f>
        <v/>
      </c>
    </row>
    <row r="40">
      <c r="A40" t="n">
        <v>37</v>
      </c>
      <c r="B40" s="7">
        <f>IF(A40&lt;=Assumptions!$B$14,Budget!D14/Assumptions!$B$14,0)+IF(A40&lt;=Assumptions!$B$15,Budget!D15/Assumptions!$B$15,Assumptions!$B$13)</f>
        <v/>
      </c>
      <c r="C40" s="17">
        <f>IF(A40&lt;Assumptions!$B$16,0,IF(A40&gt;=Assumptions!$B$17,1,(A40-Assumptions!$B$16+1)/(Assumptions!$B$17-Assumptions!$B$16+1)))</f>
        <v/>
      </c>
      <c r="D40" s="18">
        <f>Assumptions!$B$26/12*C40</f>
        <v/>
      </c>
      <c r="E40" s="7">
        <f>D40*Assumptions!$B$12</f>
        <v/>
      </c>
      <c r="F40" s="7">
        <f>E40-B40</f>
        <v/>
      </c>
      <c r="G40" s="7">
        <f>G39+F40</f>
        <v/>
      </c>
      <c r="H40" s="18">
        <f>D40*Assumptions!$B$18</f>
        <v/>
      </c>
      <c r="I40" s="7">
        <f>H40*Assumptions!$B$12</f>
        <v/>
      </c>
      <c r="J40" s="7">
        <f>J39+I40-B40</f>
        <v/>
      </c>
      <c r="K40">
        <f>IF(AND(A40&gt;=Assumptions!$B$16,G40&gt;=0),A40,"")</f>
        <v/>
      </c>
      <c r="L40">
        <f>IF(AND(A40&gt;=Assumptions!$B$16,J40&gt;=0),A40,"")</f>
        <v/>
      </c>
    </row>
    <row r="41">
      <c r="A41" t="n">
        <v>38</v>
      </c>
      <c r="B41" s="7">
        <f>IF(A41&lt;=Assumptions!$B$14,Budget!D14/Assumptions!$B$14,0)+IF(A41&lt;=Assumptions!$B$15,Budget!D15/Assumptions!$B$15,Assumptions!$B$13)</f>
        <v/>
      </c>
      <c r="C41" s="17">
        <f>IF(A41&lt;Assumptions!$B$16,0,IF(A41&gt;=Assumptions!$B$17,1,(A41-Assumptions!$B$16+1)/(Assumptions!$B$17-Assumptions!$B$16+1)))</f>
        <v/>
      </c>
      <c r="D41" s="18">
        <f>Assumptions!$B$26/12*C41</f>
        <v/>
      </c>
      <c r="E41" s="7">
        <f>D41*Assumptions!$B$12</f>
        <v/>
      </c>
      <c r="F41" s="7">
        <f>E41-B41</f>
        <v/>
      </c>
      <c r="G41" s="7">
        <f>G40+F41</f>
        <v/>
      </c>
      <c r="H41" s="18">
        <f>D41*Assumptions!$B$18</f>
        <v/>
      </c>
      <c r="I41" s="7">
        <f>H41*Assumptions!$B$12</f>
        <v/>
      </c>
      <c r="J41" s="7">
        <f>J40+I41-B41</f>
        <v/>
      </c>
      <c r="K41">
        <f>IF(AND(A41&gt;=Assumptions!$B$16,G41&gt;=0),A41,"")</f>
        <v/>
      </c>
      <c r="L41">
        <f>IF(AND(A41&gt;=Assumptions!$B$16,J41&gt;=0),A41,"")</f>
        <v/>
      </c>
    </row>
    <row r="42">
      <c r="A42" t="n">
        <v>39</v>
      </c>
      <c r="B42" s="7">
        <f>IF(A42&lt;=Assumptions!$B$14,Budget!D14/Assumptions!$B$14,0)+IF(A42&lt;=Assumptions!$B$15,Budget!D15/Assumptions!$B$15,Assumptions!$B$13)</f>
        <v/>
      </c>
      <c r="C42" s="17">
        <f>IF(A42&lt;Assumptions!$B$16,0,IF(A42&gt;=Assumptions!$B$17,1,(A42-Assumptions!$B$16+1)/(Assumptions!$B$17-Assumptions!$B$16+1)))</f>
        <v/>
      </c>
      <c r="D42" s="18">
        <f>Assumptions!$B$26/12*C42</f>
        <v/>
      </c>
      <c r="E42" s="7">
        <f>D42*Assumptions!$B$12</f>
        <v/>
      </c>
      <c r="F42" s="7">
        <f>E42-B42</f>
        <v/>
      </c>
      <c r="G42" s="7">
        <f>G41+F42</f>
        <v/>
      </c>
      <c r="H42" s="18">
        <f>D42*Assumptions!$B$18</f>
        <v/>
      </c>
      <c r="I42" s="7">
        <f>H42*Assumptions!$B$12</f>
        <v/>
      </c>
      <c r="J42" s="7">
        <f>J41+I42-B42</f>
        <v/>
      </c>
      <c r="K42">
        <f>IF(AND(A42&gt;=Assumptions!$B$16,G42&gt;=0),A42,"")</f>
        <v/>
      </c>
      <c r="L42">
        <f>IF(AND(A42&gt;=Assumptions!$B$16,J42&gt;=0),A42,"")</f>
        <v/>
      </c>
    </row>
    <row r="43">
      <c r="A43" t="n">
        <v>40</v>
      </c>
      <c r="B43" s="7">
        <f>IF(A43&lt;=Assumptions!$B$14,Budget!D14/Assumptions!$B$14,0)+IF(A43&lt;=Assumptions!$B$15,Budget!D15/Assumptions!$B$15,Assumptions!$B$13)</f>
        <v/>
      </c>
      <c r="C43" s="17">
        <f>IF(A43&lt;Assumptions!$B$16,0,IF(A43&gt;=Assumptions!$B$17,1,(A43-Assumptions!$B$16+1)/(Assumptions!$B$17-Assumptions!$B$16+1)))</f>
        <v/>
      </c>
      <c r="D43" s="18">
        <f>Assumptions!$B$26/12*C43</f>
        <v/>
      </c>
      <c r="E43" s="7">
        <f>D43*Assumptions!$B$12</f>
        <v/>
      </c>
      <c r="F43" s="7">
        <f>E43-B43</f>
        <v/>
      </c>
      <c r="G43" s="7">
        <f>G42+F43</f>
        <v/>
      </c>
      <c r="H43" s="18">
        <f>D43*Assumptions!$B$18</f>
        <v/>
      </c>
      <c r="I43" s="7">
        <f>H43*Assumptions!$B$12</f>
        <v/>
      </c>
      <c r="J43" s="7">
        <f>J42+I43-B43</f>
        <v/>
      </c>
      <c r="K43">
        <f>IF(AND(A43&gt;=Assumptions!$B$16,G43&gt;=0),A43,"")</f>
        <v/>
      </c>
      <c r="L43">
        <f>IF(AND(A43&gt;=Assumptions!$B$16,J43&gt;=0),A43,"")</f>
        <v/>
      </c>
    </row>
    <row r="44">
      <c r="A44" t="n">
        <v>41</v>
      </c>
      <c r="B44" s="7">
        <f>IF(A44&lt;=Assumptions!$B$14,Budget!D14/Assumptions!$B$14,0)+IF(A44&lt;=Assumptions!$B$15,Budget!D15/Assumptions!$B$15,Assumptions!$B$13)</f>
        <v/>
      </c>
      <c r="C44" s="17">
        <f>IF(A44&lt;Assumptions!$B$16,0,IF(A44&gt;=Assumptions!$B$17,1,(A44-Assumptions!$B$16+1)/(Assumptions!$B$17-Assumptions!$B$16+1)))</f>
        <v/>
      </c>
      <c r="D44" s="18">
        <f>Assumptions!$B$26/12*C44</f>
        <v/>
      </c>
      <c r="E44" s="7">
        <f>D44*Assumptions!$B$12</f>
        <v/>
      </c>
      <c r="F44" s="7">
        <f>E44-B44</f>
        <v/>
      </c>
      <c r="G44" s="7">
        <f>G43+F44</f>
        <v/>
      </c>
      <c r="H44" s="18">
        <f>D44*Assumptions!$B$18</f>
        <v/>
      </c>
      <c r="I44" s="7">
        <f>H44*Assumptions!$B$12</f>
        <v/>
      </c>
      <c r="J44" s="7">
        <f>J43+I44-B44</f>
        <v/>
      </c>
      <c r="K44">
        <f>IF(AND(A44&gt;=Assumptions!$B$16,G44&gt;=0),A44,"")</f>
        <v/>
      </c>
      <c r="L44">
        <f>IF(AND(A44&gt;=Assumptions!$B$16,J44&gt;=0),A44,"")</f>
        <v/>
      </c>
    </row>
    <row r="45">
      <c r="A45" t="n">
        <v>42</v>
      </c>
      <c r="B45" s="7">
        <f>IF(A45&lt;=Assumptions!$B$14,Budget!D14/Assumptions!$B$14,0)+IF(A45&lt;=Assumptions!$B$15,Budget!D15/Assumptions!$B$15,Assumptions!$B$13)</f>
        <v/>
      </c>
      <c r="C45" s="17">
        <f>IF(A45&lt;Assumptions!$B$16,0,IF(A45&gt;=Assumptions!$B$17,1,(A45-Assumptions!$B$16+1)/(Assumptions!$B$17-Assumptions!$B$16+1)))</f>
        <v/>
      </c>
      <c r="D45" s="18">
        <f>Assumptions!$B$26/12*C45</f>
        <v/>
      </c>
      <c r="E45" s="7">
        <f>D45*Assumptions!$B$12</f>
        <v/>
      </c>
      <c r="F45" s="7">
        <f>E45-B45</f>
        <v/>
      </c>
      <c r="G45" s="7">
        <f>G44+F45</f>
        <v/>
      </c>
      <c r="H45" s="18">
        <f>D45*Assumptions!$B$18</f>
        <v/>
      </c>
      <c r="I45" s="7">
        <f>H45*Assumptions!$B$12</f>
        <v/>
      </c>
      <c r="J45" s="7">
        <f>J44+I45-B45</f>
        <v/>
      </c>
      <c r="K45">
        <f>IF(AND(A45&gt;=Assumptions!$B$16,G45&gt;=0),A45,"")</f>
        <v/>
      </c>
      <c r="L45">
        <f>IF(AND(A45&gt;=Assumptions!$B$16,J45&gt;=0),A45,"")</f>
        <v/>
      </c>
    </row>
    <row r="46">
      <c r="A46" t="n">
        <v>43</v>
      </c>
      <c r="B46" s="7">
        <f>IF(A46&lt;=Assumptions!$B$14,Budget!D14/Assumptions!$B$14,0)+IF(A46&lt;=Assumptions!$B$15,Budget!D15/Assumptions!$B$15,Assumptions!$B$13)</f>
        <v/>
      </c>
      <c r="C46" s="17">
        <f>IF(A46&lt;Assumptions!$B$16,0,IF(A46&gt;=Assumptions!$B$17,1,(A46-Assumptions!$B$16+1)/(Assumptions!$B$17-Assumptions!$B$16+1)))</f>
        <v/>
      </c>
      <c r="D46" s="18">
        <f>Assumptions!$B$26/12*C46</f>
        <v/>
      </c>
      <c r="E46" s="7">
        <f>D46*Assumptions!$B$12</f>
        <v/>
      </c>
      <c r="F46" s="7">
        <f>E46-B46</f>
        <v/>
      </c>
      <c r="G46" s="7">
        <f>G45+F46</f>
        <v/>
      </c>
      <c r="H46" s="18">
        <f>D46*Assumptions!$B$18</f>
        <v/>
      </c>
      <c r="I46" s="7">
        <f>H46*Assumptions!$B$12</f>
        <v/>
      </c>
      <c r="J46" s="7">
        <f>J45+I46-B46</f>
        <v/>
      </c>
      <c r="K46">
        <f>IF(AND(A46&gt;=Assumptions!$B$16,G46&gt;=0),A46,"")</f>
        <v/>
      </c>
      <c r="L46">
        <f>IF(AND(A46&gt;=Assumptions!$B$16,J46&gt;=0),A46,"")</f>
        <v/>
      </c>
    </row>
    <row r="47">
      <c r="A47" t="n">
        <v>44</v>
      </c>
      <c r="B47" s="7">
        <f>IF(A47&lt;=Assumptions!$B$14,Budget!D14/Assumptions!$B$14,0)+IF(A47&lt;=Assumptions!$B$15,Budget!D15/Assumptions!$B$15,Assumptions!$B$13)</f>
        <v/>
      </c>
      <c r="C47" s="17">
        <f>IF(A47&lt;Assumptions!$B$16,0,IF(A47&gt;=Assumptions!$B$17,1,(A47-Assumptions!$B$16+1)/(Assumptions!$B$17-Assumptions!$B$16+1)))</f>
        <v/>
      </c>
      <c r="D47" s="18">
        <f>Assumptions!$B$26/12*C47</f>
        <v/>
      </c>
      <c r="E47" s="7">
        <f>D47*Assumptions!$B$12</f>
        <v/>
      </c>
      <c r="F47" s="7">
        <f>E47-B47</f>
        <v/>
      </c>
      <c r="G47" s="7">
        <f>G46+F47</f>
        <v/>
      </c>
      <c r="H47" s="18">
        <f>D47*Assumptions!$B$18</f>
        <v/>
      </c>
      <c r="I47" s="7">
        <f>H47*Assumptions!$B$12</f>
        <v/>
      </c>
      <c r="J47" s="7">
        <f>J46+I47-B47</f>
        <v/>
      </c>
      <c r="K47">
        <f>IF(AND(A47&gt;=Assumptions!$B$16,G47&gt;=0),A47,"")</f>
        <v/>
      </c>
      <c r="L47">
        <f>IF(AND(A47&gt;=Assumptions!$B$16,J47&gt;=0),A47,"")</f>
        <v/>
      </c>
    </row>
    <row r="48">
      <c r="A48" t="n">
        <v>45</v>
      </c>
      <c r="B48" s="7">
        <f>IF(A48&lt;=Assumptions!$B$14,Budget!D14/Assumptions!$B$14,0)+IF(A48&lt;=Assumptions!$B$15,Budget!D15/Assumptions!$B$15,Assumptions!$B$13)</f>
        <v/>
      </c>
      <c r="C48" s="17">
        <f>IF(A48&lt;Assumptions!$B$16,0,IF(A48&gt;=Assumptions!$B$17,1,(A48-Assumptions!$B$16+1)/(Assumptions!$B$17-Assumptions!$B$16+1)))</f>
        <v/>
      </c>
      <c r="D48" s="18">
        <f>Assumptions!$B$26/12*C48</f>
        <v/>
      </c>
      <c r="E48" s="7">
        <f>D48*Assumptions!$B$12</f>
        <v/>
      </c>
      <c r="F48" s="7">
        <f>E48-B48</f>
        <v/>
      </c>
      <c r="G48" s="7">
        <f>G47+F48</f>
        <v/>
      </c>
      <c r="H48" s="18">
        <f>D48*Assumptions!$B$18</f>
        <v/>
      </c>
      <c r="I48" s="7">
        <f>H48*Assumptions!$B$12</f>
        <v/>
      </c>
      <c r="J48" s="7">
        <f>J47+I48-B48</f>
        <v/>
      </c>
      <c r="K48">
        <f>IF(AND(A48&gt;=Assumptions!$B$16,G48&gt;=0),A48,"")</f>
        <v/>
      </c>
      <c r="L48">
        <f>IF(AND(A48&gt;=Assumptions!$B$16,J48&gt;=0),A48,"")</f>
        <v/>
      </c>
    </row>
    <row r="49">
      <c r="A49" t="n">
        <v>46</v>
      </c>
      <c r="B49" s="7">
        <f>IF(A49&lt;=Assumptions!$B$14,Budget!D14/Assumptions!$B$14,0)+IF(A49&lt;=Assumptions!$B$15,Budget!D15/Assumptions!$B$15,Assumptions!$B$13)</f>
        <v/>
      </c>
      <c r="C49" s="17">
        <f>IF(A49&lt;Assumptions!$B$16,0,IF(A49&gt;=Assumptions!$B$17,1,(A49-Assumptions!$B$16+1)/(Assumptions!$B$17-Assumptions!$B$16+1)))</f>
        <v/>
      </c>
      <c r="D49" s="18">
        <f>Assumptions!$B$26/12*C49</f>
        <v/>
      </c>
      <c r="E49" s="7">
        <f>D49*Assumptions!$B$12</f>
        <v/>
      </c>
      <c r="F49" s="7">
        <f>E49-B49</f>
        <v/>
      </c>
      <c r="G49" s="7">
        <f>G48+F49</f>
        <v/>
      </c>
      <c r="H49" s="18">
        <f>D49*Assumptions!$B$18</f>
        <v/>
      </c>
      <c r="I49" s="7">
        <f>H49*Assumptions!$B$12</f>
        <v/>
      </c>
      <c r="J49" s="7">
        <f>J48+I49-B49</f>
        <v/>
      </c>
      <c r="K49">
        <f>IF(AND(A49&gt;=Assumptions!$B$16,G49&gt;=0),A49,"")</f>
        <v/>
      </c>
      <c r="L49">
        <f>IF(AND(A49&gt;=Assumptions!$B$16,J49&gt;=0),A49,"")</f>
        <v/>
      </c>
    </row>
    <row r="50">
      <c r="A50" t="n">
        <v>47</v>
      </c>
      <c r="B50" s="7">
        <f>IF(A50&lt;=Assumptions!$B$14,Budget!D14/Assumptions!$B$14,0)+IF(A50&lt;=Assumptions!$B$15,Budget!D15/Assumptions!$B$15,Assumptions!$B$13)</f>
        <v/>
      </c>
      <c r="C50" s="17">
        <f>IF(A50&lt;Assumptions!$B$16,0,IF(A50&gt;=Assumptions!$B$17,1,(A50-Assumptions!$B$16+1)/(Assumptions!$B$17-Assumptions!$B$16+1)))</f>
        <v/>
      </c>
      <c r="D50" s="18">
        <f>Assumptions!$B$26/12*C50</f>
        <v/>
      </c>
      <c r="E50" s="7">
        <f>D50*Assumptions!$B$12</f>
        <v/>
      </c>
      <c r="F50" s="7">
        <f>E50-B50</f>
        <v/>
      </c>
      <c r="G50" s="7">
        <f>G49+F50</f>
        <v/>
      </c>
      <c r="H50" s="18">
        <f>D50*Assumptions!$B$18</f>
        <v/>
      </c>
      <c r="I50" s="7">
        <f>H50*Assumptions!$B$12</f>
        <v/>
      </c>
      <c r="J50" s="7">
        <f>J49+I50-B50</f>
        <v/>
      </c>
      <c r="K50">
        <f>IF(AND(A50&gt;=Assumptions!$B$16,G50&gt;=0),A50,"")</f>
        <v/>
      </c>
      <c r="L50">
        <f>IF(AND(A50&gt;=Assumptions!$B$16,J50&gt;=0),A50,"")</f>
        <v/>
      </c>
    </row>
    <row r="51">
      <c r="A51" t="n">
        <v>48</v>
      </c>
      <c r="B51" s="7">
        <f>IF(A51&lt;=Assumptions!$B$14,Budget!D14/Assumptions!$B$14,0)+IF(A51&lt;=Assumptions!$B$15,Budget!D15/Assumptions!$B$15,Assumptions!$B$13)</f>
        <v/>
      </c>
      <c r="C51" s="17">
        <f>IF(A51&lt;Assumptions!$B$16,0,IF(A51&gt;=Assumptions!$B$17,1,(A51-Assumptions!$B$16+1)/(Assumptions!$B$17-Assumptions!$B$16+1)))</f>
        <v/>
      </c>
      <c r="D51" s="18">
        <f>Assumptions!$B$26/12*C51</f>
        <v/>
      </c>
      <c r="E51" s="7">
        <f>D51*Assumptions!$B$12</f>
        <v/>
      </c>
      <c r="F51" s="7">
        <f>E51-B51</f>
        <v/>
      </c>
      <c r="G51" s="7">
        <f>G50+F51</f>
        <v/>
      </c>
      <c r="H51" s="18">
        <f>D51*Assumptions!$B$18</f>
        <v/>
      </c>
      <c r="I51" s="7">
        <f>H51*Assumptions!$B$12</f>
        <v/>
      </c>
      <c r="J51" s="7">
        <f>J50+I51-B51</f>
        <v/>
      </c>
      <c r="K51">
        <f>IF(AND(A51&gt;=Assumptions!$B$16,G51&gt;=0),A51,"")</f>
        <v/>
      </c>
      <c r="L51">
        <f>IF(AND(A51&gt;=Assumptions!$B$16,J51&gt;=0),A51,"")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2026-10-27T08:48:53Z</dcterms:created>
  <dcterms:modified xmlns:dcterms="http://purl.org/dc/terms/" xmlns:xsi="http://www.w3.org/2001/XMLSchema-instance" xsi:type="dcterms:W3CDTF">2026-10-27T08:48:53Z</dcterms:modified>
</cp:coreProperties>
</file>