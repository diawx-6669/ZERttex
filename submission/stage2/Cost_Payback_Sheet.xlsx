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_Sheet" sheetId="1" state="visible" r:id="rId3"/>
    <sheet name="Summary" sheetId="2" state="visible" r:id="rId4"/>
    <sheet name="README" sheetId="3" state="visible" r:id="rId5"/>
    <sheet name="Inputs" sheetId="4" state="visible" r:id="rId6"/>
    <sheet name="Budget_8M" sheetId="5" state="visible" r:id="rId7"/>
    <sheet name="Cashflow" sheetId="6" state="visible" r:id="rId8"/>
    <sheet name="Sensitivity" sheetId="7" state="visible" r:id="rId9"/>
    <sheet name="PDF_20M_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<sst xmlns="http://schemas.openxmlformats.org/spreadsheetml/2006/main" count="280" uniqueCount="252">
  <si>
    <t xml:space="preserve">Saryarqa Go — Cost and Payback Sheet (KZT)</t>
  </si>
  <si>
    <t xml:space="preserve">All numbers are formulas linked to the Inputs, Budget_8M, Cashflow and Summary sheets. Planning assumptions, not a forecast.</t>
  </si>
  <si>
    <t xml:space="preserve">1. One-time costs</t>
  </si>
  <si>
    <t xml:space="preserve">One-time total</t>
  </si>
  <si>
    <t xml:space="preserve">2. Monthly operating costs</t>
  </si>
  <si>
    <t xml:space="preserve">Item</t>
  </si>
  <si>
    <t xml:space="preserve">KZT / month</t>
  </si>
  <si>
    <t xml:space="preserve">Months</t>
  </si>
  <si>
    <t xml:space="preserve">Operating cost by month, year 1</t>
  </si>
  <si>
    <t xml:space="preserve">(columns C–N = months 1–12)</t>
  </si>
  <si>
    <t xml:space="preserve">Operating cost per month from month 13 (hosting, support, developer retainer, marketing)</t>
  </si>
  <si>
    <t xml:space="preserve">3. Total first-year costs</t>
  </si>
  <si>
    <t xml:space="preserve">One-time costs</t>
  </si>
  <si>
    <t xml:space="preserve">12 months of operating costs</t>
  </si>
  <si>
    <t xml:space="preserve">Total first-year costs (one-time + 12 months operating)</t>
  </si>
  <si>
    <t xml:space="preserve">Case budget limit (Technology Product)</t>
  </si>
  <si>
    <t xml:space="preserve">Check</t>
  </si>
  <si>
    <t xml:space="preserve">Check: equals the Phase 1 budget sheet</t>
  </si>
  <si>
    <t xml:space="preserve">4. Revenue assumptions</t>
  </si>
  <si>
    <t xml:space="preserve">Average tour price per traveler (case fact)</t>
  </si>
  <si>
    <t xml:space="preserve">Contribution margin (team assumption, to confirm)</t>
  </si>
  <si>
    <t xml:space="preserve">Contribution per extra foreign traveler</t>
  </si>
  <si>
    <t xml:space="preserve">Extra foreign travelers per year at the company target</t>
  </si>
  <si>
    <t xml:space="preserve">Launch month (first bookings)</t>
  </si>
  <si>
    <t xml:space="preserve">Travelers per month to cover month-13 costs</t>
  </si>
  <si>
    <t xml:space="preserve">5. Payback and worst case (30% lower results)</t>
  </si>
  <si>
    <t xml:space="preserve">Payback month (cumulative cash ≥ 0)</t>
  </si>
  <si>
    <t xml:space="preserve">Lowest cumulative cash flow</t>
  </si>
  <si>
    <t xml:space="preserve">Month of lowest point</t>
  </si>
  <si>
    <t xml:space="preserve">Cumulative cash flow at month 48</t>
  </si>
  <si>
    <t xml:space="preserve">Worst case = 70% of the company target path (30% lower results). Stress test = 40%, margin 25%, launch 2 months late.</t>
  </si>
  <si>
    <t xml:space="preserve">Summary — slide 7 and the Impact page</t>
  </si>
  <si>
    <t xml:space="preserve">Metric</t>
  </si>
  <si>
    <t xml:space="preserve">Company target (100%)</t>
  </si>
  <si>
    <t xml:space="preserve">Worst case −30% (required)</t>
  </si>
  <si>
    <t xml:space="preserve">Stress test</t>
  </si>
  <si>
    <t xml:space="preserve">Contribution margin</t>
  </si>
  <si>
    <t xml:space="preserve">Volume (% of company target)</t>
  </si>
  <si>
    <t xml:space="preserve">Launch month</t>
  </si>
  <si>
    <t xml:space="preserve">Travelers in year 1 (months 1–12)</t>
  </si>
  <si>
    <t xml:space="preserve">Travelers in year 2 (months 13–24)</t>
  </si>
  <si>
    <t xml:space="preserve">Travelers in year 3 (months 25–36)</t>
  </si>
  <si>
    <t xml:space="preserve">Gross bookings, months 1–48 (revenue, NOT profit)</t>
  </si>
  <si>
    <t xml:space="preserve">Contribution, months 1–48</t>
  </si>
  <si>
    <t xml:space="preserve">Monthly break-even month (first month with cash flow ≥ 0)</t>
  </si>
  <si>
    <t xml:space="preserve">Payback month (cumulative ≥ 0)</t>
  </si>
  <si>
    <t xml:space="preserve">Marketing spend per traveler, year 1 (KZT)</t>
  </si>
  <si>
    <t xml:space="preserve">Marketing spend per traveler, year 2 (KZT)</t>
  </si>
  <si>
    <t xml:space="preserve">Marketing per traveler year 1 uses budget lines 9–10 (Xiaohongshu + postcards). It is the acquisition cost the slide shows; it is not hidden in the margin.</t>
  </si>
  <si>
    <t xml:space="preserve">Payback month uses COUNTIF of negative cumulative months + 1. Valid because cumulative cash flow falls first, then rises and stays positive in every scenario here.</t>
  </si>
  <si>
    <t xml:space="preserve">Saryarqa Go — Cost and Payback Sheet: Phase 1 budget 8,000,000 KZT within the 20,000,000 KZT case cap</t>
  </si>
  <si>
    <t xml:space="preserve">ZERTTEX Hackathon 2026, Final (Stage 2), Case 1 Technology Product. Updated 27 Oct 2026. All amounts in KZT.</t>
  </si>
  <si>
    <t xml:space="preserve">Case cap 20,000,000 KZT (organizers). We ask for 8,000,000 now (Phase 1); up to 12,000,000 more (Phase 2) only after the month-9 stage gate.</t>
  </si>
  <si>
    <t xml:space="preserve">How to read this workbook</t>
  </si>
  <si>
    <t xml:space="preserve">Blue text = inputs you can change. Black = formulas. Green = links to another sheet. Yellow fill = key assumptions that must be confirmed with Saryarqa Routes.</t>
  </si>
  <si>
    <t xml:space="preserve">Change any blue cell on "Inputs" or "Budget_8M" and every sheet recalculates.</t>
  </si>
  <si>
    <t xml:space="preserve">Sheets</t>
  </si>
  <si>
    <t xml:space="preserve">Inputs — price, margin, target, launch month, running costs after year 1, three scenarios.</t>
  </si>
  <si>
    <t xml:space="preserve">Budget_8M — the 13 Phase 1 lines that add up to exactly 8,000,000 KZT, with timing and a reason for each line; what is done unpaid; what is in Phase 2.</t>
  </si>
  <si>
    <t xml:space="preserve">Cashflow — month-by-month travelers, gross bookings, contribution, costs, cash flow and cumulative cash flow for three scenarios (60 months).</t>
  </si>
  <si>
    <t xml:space="preserve">Summary (first sheet) — the numbers on slide 7 and on the prototype's Impact page: lowest point, monthly break-even, payback month, totals by year.</t>
  </si>
  <si>
    <t xml:space="preserve">Sensitivity — payback month for margin 20–35% × volume 40–100% of the company target.</t>
  </si>
  <si>
    <t xml:space="preserve">PDF_20M_check — Stage 1 model (20M spent in year 1) rebuilt to show its arithmetic (32 / 44). Superseded by the Phase 1 plan.</t>
  </si>
  <si>
    <t xml:space="preserve">Definitions (do not mix them up on stage)</t>
  </si>
  <si>
    <t xml:space="preserve">Gross bookings = travelers × tour price. This is revenue that passes through the company, NOT profit.</t>
  </si>
  <si>
    <t xml:space="preserve">Contribution = gross bookings × contribution margin. What is left after guides, transport, hotels and payment fees (our 30% assumption, from the PDF).</t>
  </si>
  <si>
    <t xml:space="preserve">Cash flow = contribution − platform costs (budget spend in year 1, running costs + marketing after that). Not accounting profit: no tax, depreciation or company overhead.</t>
  </si>
  <si>
    <t xml:space="preserve">Payback month = first month when cumulative cash flow (including the 8M Phase 1 investment) is ≥ 0. Monthly break-even = first month when that month's cash flow is ≥ 0.</t>
  </si>
  <si>
    <t xml:space="preserve">Key assumptions (all need confirmation)</t>
  </si>
  <si>
    <t xml:space="preserve">1. Every additional foreign traveler counted here books through Saryarqa Go (booking code makes this trackable).</t>
  </si>
  <si>
    <t xml:space="preserve">2. Contribution margin 30% of 44,000 KZT = 13,200 KZT per traveler (PDF assumption; verify with the company before the final).</t>
  </si>
  <si>
    <t xml:space="preserve">3. The team works unpaid (research, content entry, QA, testing coordination). Saryarqa Routes provides a product owner, a manager and guides for videos from existing staff. Neither is in the budget.</t>
  </si>
  <si>
    <t xml:space="preserve">4. The company can serve the extra travelers with its current guide capacity. If not, variable costs rise and margin falls.</t>
  </si>
  <si>
    <t xml:space="preserve">5. The whole contingency reserve is assumed spent (conservative).</t>
  </si>
  <si>
    <t xml:space="preserve">6. After month 12 the company pays running costs + 150,000 KZT/month marketing from operating cash flow.</t>
  </si>
  <si>
    <t xml:space="preserve">Nothing in this model is a forecast of guaranteed results. Scenarios are tools for decisions (see the month-9 stage gate on slide 8).</t>
  </si>
  <si>
    <t xml:space="preserve">Inputs</t>
  </si>
  <si>
    <t xml:space="preserve">Input</t>
  </si>
  <si>
    <t xml:space="preserve">Value</t>
  </si>
  <si>
    <t xml:space="preserve">Source / note</t>
  </si>
  <si>
    <t xml:space="preserve">Average tour price per traveler (KZT)</t>
  </si>
  <si>
    <t xml:space="preserve">Case data (ZERTTEX case "Saryarqa Routes"), as used in our PDF.</t>
  </si>
  <si>
    <t xml:space="preserve">Contribution margin after guides, transport, hotels, payment fees</t>
  </si>
  <si>
    <t xml:space="preserve">Our PDF assumption. NOT confirmed by the company. Check in week 1.</t>
  </si>
  <si>
    <t xml:space="preserve">Travelers today (all)</t>
  </si>
  <si>
    <t xml:space="preserve">Case data.</t>
  </si>
  <si>
    <t xml:space="preserve">Share of foreign travelers today</t>
  </si>
  <si>
    <t xml:space="preserve">Case data (≈96% from Kazakhstan).</t>
  </si>
  <si>
    <t xml:space="preserve">Target share of foreign travelers in 24 months</t>
  </si>
  <si>
    <t xml:space="preserve">Case data (company goal).</t>
  </si>
  <si>
    <t xml:space="preserve">After a 12-week MVP build (weeks 1–12).</t>
  </si>
  <si>
    <t xml:space="preserve">Month in which the target run-rate is reached</t>
  </si>
  <si>
    <t xml:space="preserve">Company goal: 30% foreign within 24 months.</t>
  </si>
  <si>
    <t xml:space="preserve">Running costs after month 12: hosting &amp; tools (KZT/month)</t>
  </si>
  <si>
    <t xml:space="preserve">Our estimate: hosting/CDN reachable from China, DB, e-mail, monitoring.</t>
  </si>
  <si>
    <t xml:space="preserve">Running costs after month 12: Chinese-speaking support (KZT/month)</t>
  </si>
  <si>
    <t xml:space="preserve">Our estimate: part-time support, about 20 h/week.</t>
  </si>
  <si>
    <t xml:space="preserve">Running costs after month 12: developer retainer for fixes (KZT/month)</t>
  </si>
  <si>
    <t xml:space="preserve">Our estimate: about 1 week of developer time per month.</t>
  </si>
  <si>
    <t xml:space="preserve">Marketing after month 12 (KZT/month)</t>
  </si>
  <si>
    <t xml:space="preserve">Our estimate: own Xiaohongshu posts + small KOC collaborations. Acquisition cost is NOT hidden.</t>
  </si>
  <si>
    <t xml:space="preserve">Derived (formulas)</t>
  </si>
  <si>
    <t xml:space="preserve">Contribution per additional foreign traveler (KZT)</t>
  </si>
  <si>
    <t xml:space="preserve">Local travelers today</t>
  </si>
  <si>
    <t xml:space="preserve">Foreign travelers today</t>
  </si>
  <si>
    <t xml:space="preserve">Total travelers needed if locals stay the same</t>
  </si>
  <si>
    <t xml:space="preserve">Foreign travelers needed per year</t>
  </si>
  <si>
    <t xml:space="preserve">Additional foreign travelers per year (target)</t>
  </si>
  <si>
    <t xml:space="preserve">Target run-rate per month</t>
  </si>
  <si>
    <t xml:space="preserve">Running costs + marketing after month 12 (KZT/month)</t>
  </si>
  <si>
    <t xml:space="preserve">Travelers per month needed to cover running costs + marketing</t>
  </si>
  <si>
    <t xml:space="preserve">Scenarios</t>
  </si>
  <si>
    <t xml:space="preserve">Scenario</t>
  </si>
  <si>
    <t xml:space="preserve">Volume (% of company target path)</t>
  </si>
  <si>
    <t xml:space="preserve">Launch delay (months)</t>
  </si>
  <si>
    <t xml:space="preserve">Why</t>
  </si>
  <si>
    <t xml:space="preserve">The company goal (30% foreign within 24 months) reached on time.</t>
  </si>
  <si>
    <t xml:space="preserve">Required by the rules: 30% lower results than the target path. Also our realistic plan, since Phase 1 has only 1.2M for marketing.</t>
  </si>
  <si>
    <t xml:space="preserve">Extra test: 40% of target, margin 25%, payment approval delays launch by 2 months. Triggers the month-9 stage gate.</t>
  </si>
  <si>
    <t xml:space="preserve">Phase 1 budget: 8,000,000 KZT (12 months), within the 20,000,000 KZT case cap</t>
  </si>
  <si>
    <t xml:space="preserve">Built bottom-up from the MVP scope, not by cutting the 20M plan proportionally. Blue = editable. Monthly spread is used by the Cashflow sheet.</t>
  </si>
  <si>
    <t xml:space="preserve">#</t>
  </si>
  <si>
    <t xml:space="preserve">Budget line</t>
  </si>
  <si>
    <t xml:space="preserve">Group</t>
  </si>
  <si>
    <t xml:space="preserve">KZT</t>
  </si>
  <si>
    <t xml:space="preserve">Start month</t>
  </si>
  <si>
    <t xml:space="preserve">End month</t>
  </si>
  <si>
    <t xml:space="preserve">Why it is needed / how the amount was set</t>
  </si>
  <si>
    <t xml:space="preserve">Senior full-stack developer (contract)</t>
  </si>
  <si>
    <t xml:space="preserve">Build</t>
  </si>
  <si>
    <t xml:space="preserve">Booking flow, payment-page integration, admin page, database, security basics. 3 months × 700,000. Benchmark: hh.kz median salary expectation for senior IT specialists ≈508,000 KZT/month (Q1 2026) + contract premium.</t>
  </si>
  <si>
    <t xml:space="preserve">UX/UI design finishing (freelance)</t>
  </si>
  <si>
    <t xml:space="preserve">Turn the prototype into a consistent, accessible design system for EN/ZH (mobile first). About 4 weeks part-time.</t>
  </si>
  <si>
    <t xml:space="preserve">Localization ZH + EN, native proofreading</t>
  </si>
  <si>
    <t xml:space="preserve">UI, 4 tour pages × 4 lists, trust page, refund rules, privacy notice, chat scripts. Translation + native Chinese proofreading.</t>
  </si>
  <si>
    <t xml:space="preserve">Legal: offer, refund rules, privacy, PD consent</t>
  </si>
  <si>
    <t xml:space="preserve">Public offer / terms, refund rules, privacy notice and personal-data consent under Kazakhstan law, review of the payment-provider contract.</t>
  </si>
  <si>
    <t xml:space="preserve">Payment provider onboarding + real test payments</t>
  </si>
  <si>
    <t xml:space="preserve">Provider set-up fees (if any) and real test payments with foreign cards before launch.</t>
  </si>
  <si>
    <t xml:space="preserve">Guide videos + tour photos (4 guides, 4 tours)</t>
  </si>
  <si>
    <t xml:space="preserve">60–90 s video per guide with ZH/EN subtitles + photos of 4 tours. Hosted on our own storage (YouTube is not reachable from mainland China).</t>
  </si>
  <si>
    <t xml:space="preserve">Pre-launch security review</t>
  </si>
  <si>
    <t xml:space="preserve">External review of payment flow, admin access and data storage before real payments start.</t>
  </si>
  <si>
    <t xml:space="preserve">Interviews + usability tests (incentives, recruiting)</t>
  </si>
  <si>
    <t xml:space="preserve">Validation</t>
  </si>
  <si>
    <t xml:space="preserve">At least 10 interviews + 5–8 usability sessions with Chinese-speaking travelers: small incentives, recruiting posts.</t>
  </si>
  <si>
    <t xml:space="preserve">Xiaohongshu content + KOC collaborations</t>
  </si>
  <si>
    <t xml:space="preserve">Launch</t>
  </si>
  <si>
    <t xml:space="preserve">Our own Xiaohongshu notes + short videos, small paid collaborations with travel creators (KOC). Months 4–12.</t>
  </si>
  <si>
    <t xml:space="preserve">Printed postcards + QR cards</t>
  </si>
  <si>
    <t xml:space="preserve">Postcards with QR code for guides, hotels and hostels partners (pilot quantity).</t>
  </si>
  <si>
    <t xml:space="preserve">Hosting, CDN, database, domain, e-mail, monitoring</t>
  </si>
  <si>
    <t xml:space="preserve">Operations Y1</t>
  </si>
  <si>
    <t xml:space="preserve">Hosting and CDN reachable from mainland China, database, domain, e-mail, monitoring. ≈25,000/month.</t>
  </si>
  <si>
    <t xml:space="preserve">Chinese-speaking support, part-time</t>
  </si>
  <si>
    <t xml:space="preserve">Part-time Chinese-speaking support: chat hand-off and 5-minute WeChat video calls before payment. 9 months × 120,000.</t>
  </si>
  <si>
    <t xml:space="preserve">Contingency reserve (assumed fully used)</t>
  </si>
  <si>
    <t xml:space="preserve">Reserve</t>
  </si>
  <si>
    <t xml:space="preserve">About 8% of the budget for overruns and post-launch fixes. Assumed fully spent in the model.</t>
  </si>
  <si>
    <t xml:space="preserve">TOTAL</t>
  </si>
  <si>
    <t xml:space="preserve">Check: total equals 8,000,000</t>
  </si>
  <si>
    <t xml:space="preserve">Room left under the 20,000,000 KZT case cap (Phase 2, only after the month-9 stage gate)</t>
  </si>
  <si>
    <t xml:space="preserve">Subtotals by group</t>
  </si>
  <si>
    <t xml:space="preserve">Monthly spend (formula: amount ÷ number of months, inside start–end)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</si>
  <si>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</si>
  <si>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</si>
  <si>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</si>
  <si>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</si>
  <si>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</si>
  <si>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</si>
  <si>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</si>
  <si>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</si>
  <si>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</si>
  <si>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</si>
  <si>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</si>
  <si>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</si>
  <si>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spend in month</t>
  </si>
  <si>
    <t xml:space="preserve">Check: 12-month spread equals total</t>
  </si>
  <si>
    <t xml:space="preserve">Not paid from the budget (stated assumptions, not hidden costs)</t>
  </si>
  <si>
    <t xml:space="preserve">• Team of 4 (unpaid): research and interview coordination, content entry, QA testing, social posts, demo and pitch.</t>
  </si>
  <si>
    <t xml:space="preserve">• Saryarqa Routes staff: product owner, manager who answers hand-offs and confirms the "not yet confirmed" items, guides for videos.</t>
  </si>
  <si>
    <t xml:space="preserve">• Payment-provider fees per transaction: inside the 30% contribution margin assumption.</t>
  </si>
  <si>
    <t xml:space="preserve">Phase 2 — up to 12,000,000 KZT of the case cap, released only after the month-9 stage gate</t>
  </si>
  <si>
    <t xml:space="preserve">• Alipay and WeChat Pay online checkout — needs provider approval; start with foreign cards (Visa, Mastercard, UnionPay where the provider supports it).</t>
  </si>
  <si>
    <t xml:space="preserve">• AI chat assistant — MVP uses a scripted FAQ chat with hand-off to a manager.</t>
  </si>
  <si>
    <t xml:space="preserve">• Trip builder, live weather data, automatic rescheduling — rescheduling is done by the manager.</t>
  </si>
  <si>
    <t xml:space="preserve">• Family update feature, native mobile app, WeChat mini-program, Korean/other languages.</t>
  </si>
  <si>
    <t xml:space="preserve">• Listing on Trip.com / Ctrip as an extra sales channel — decide after the pilot.</t>
  </si>
  <si>
    <t xml:space="preserve">Monthly cash flow, three scenarios (KZT)</t>
  </si>
  <si>
    <t xml:space="preserve">Travelers = volume % × target run-rate × ramp share. Ramp: linear from launch month to month 24 (shifted by any launch delay), flat afterwards. Contribution = travelers × price × margin.</t>
  </si>
  <si>
    <t xml:space="preserve">Month</t>
  </si>
  <si>
    <t xml:space="preserve">Platform costs (year 1 = budget spend; later = running costs + marketing)</t>
  </si>
  <si>
    <t xml:space="preserve">Target: Travelers</t>
  </si>
  <si>
    <t xml:space="preserve">Target: Gross bookings</t>
  </si>
  <si>
    <t xml:space="preserve">Target: Contribution</t>
  </si>
  <si>
    <t xml:space="preserve">Target: Cash flow</t>
  </si>
  <si>
    <t xml:space="preserve">Target: Cumulative cash flow</t>
  </si>
  <si>
    <t xml:space="preserve">Target: Monthly CF ≥ 0 (1/0)</t>
  </si>
  <si>
    <t xml:space="preserve">−30%: Travelers</t>
  </si>
  <si>
    <t xml:space="preserve">−30%: Gross bookings</t>
  </si>
  <si>
    <t xml:space="preserve">−30%: Contribution</t>
  </si>
  <si>
    <t xml:space="preserve">−30%: Cash flow</t>
  </si>
  <si>
    <t xml:space="preserve">−30%: Cumulative cash flow</t>
  </si>
  <si>
    <t xml:space="preserve">−30%: Monthly CF ≥ 0 (1/0)</t>
  </si>
  <si>
    <t xml:space="preserve">Stress: Travelers</t>
  </si>
  <si>
    <t xml:space="preserve">Stress: Gross bookings</t>
  </si>
  <si>
    <t xml:space="preserve">Stress: Contribution</t>
  </si>
  <si>
    <t xml:space="preserve">Stress: Cash flow</t>
  </si>
  <si>
    <t xml:space="preserve">Stress: Cumulative cash flow</t>
  </si>
  <si>
    <t xml:space="preserve">Stress: Monthly CF ≥ 0 (1/0)</t>
  </si>
  <si>
    <t xml:space="preserve">Payback month by margin and volume (launch month 4, Phase 1 budget 8M, running costs + marketing from month 13)</t>
  </si>
  <si>
    <t xml:space="preserve">Each cell is calculated in the helper block below (60 months). "none" = no payback within 60 months.</t>
  </si>
  <si>
    <t xml:space="preserve">Margin \ Volume</t>
  </si>
  <si>
    <t xml:space="preserve">Helper: cumulative cash flow for each margin × volume pair</t>
  </si>
  <si>
    <t xml:space="preserve">Costs</t>
  </si>
  <si>
    <t xml:space="preserve">m20% v40%</t>
  </si>
  <si>
    <t xml:space="preserve">m20% v55%</t>
  </si>
  <si>
    <t xml:space="preserve">m20% v70%</t>
  </si>
  <si>
    <t xml:space="preserve">m20% v85%</t>
  </si>
  <si>
    <t xml:space="preserve">m20% v100%</t>
  </si>
  <si>
    <t xml:space="preserve">m25% v40%</t>
  </si>
  <si>
    <t xml:space="preserve">m25% v55%</t>
  </si>
  <si>
    <t xml:space="preserve">m25% v70%</t>
  </si>
  <si>
    <t xml:space="preserve">m25% v85%</t>
  </si>
  <si>
    <t xml:space="preserve">m25% v100%</t>
  </si>
  <si>
    <t xml:space="preserve">m30% v40%</t>
  </si>
  <si>
    <t xml:space="preserve">m30% v55%</t>
  </si>
  <si>
    <t xml:space="preserve">m30% v70%</t>
  </si>
  <si>
    <t xml:space="preserve">m30% v85%</t>
  </si>
  <si>
    <t xml:space="preserve">m30% v100%</t>
  </si>
  <si>
    <t xml:space="preserve">m35% v40%</t>
  </si>
  <si>
    <t xml:space="preserve">m35% v55%</t>
  </si>
  <si>
    <t xml:space="preserve">m35% v70%</t>
  </si>
  <si>
    <t xml:space="preserve">m35% v85%</t>
  </si>
  <si>
    <t xml:space="preserve">m35% v100%</t>
  </si>
  <si>
    <t xml:space="preserve">Stage 1 model check (20M spent in year 1) — superseded by the Phase 1 plan, kept only to show the arithmetic</t>
  </si>
  <si>
    <t xml:space="preserve">PDF assumptions: 20,000,000 spent in year 1; travelers start month 4 and grow by 5 per month to 105 per month at month 24; 13,200 KZT per traveler; 300,000 KZT/month running costs from year 2. Downside = travelers × 0.7.</t>
  </si>
  <si>
    <t xml:space="preserve">Year-1 spend</t>
  </si>
  <si>
    <t xml:space="preserve">Payback month, base (PDF says 32)</t>
  </si>
  <si>
    <t xml:space="preserve">Contribution per traveler</t>
  </si>
  <si>
    <t xml:space="preserve">Payback month, downside (PDF says 44)</t>
  </si>
  <si>
    <t xml:space="preserve">Monthly running costs from month 13</t>
  </si>
  <si>
    <t xml:space="preserve">Cumulative at month 48, base (PDF says 17.8M)</t>
  </si>
  <si>
    <t xml:space="preserve">Downside factor</t>
  </si>
  <si>
    <t xml:space="preserve">Cumulative at month 48, downside (PDF says 3.2M)</t>
  </si>
  <si>
    <t xml:space="preserve">Cumulative at month 12, base (PDF lowest point -17.0M)</t>
  </si>
  <si>
    <t xml:space="preserve">Travelers (base)</t>
  </si>
  <si>
    <t xml:space="preserve">Cost</t>
  </si>
  <si>
    <t xml:space="preserve">Cum. CF base</t>
  </si>
  <si>
    <t xml:space="preserve">Cum. CF downside</t>
  </si>
  <si>
    <t xml:space="preserve">Travelers actually served in year 2 (months 13–24)</t>
  </si>
  <si>
    <t xml:space="preserve">Finding: the PDF arithmetic is correct. Note: "1,263 per year by month 24" is a run-rate; year 2 itself has about 930 travelers. The 20M plan has no paid marketing after year 1.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</si>
</sst>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"/>
    <numFmt numFmtId="168" formatCode="0.0%;\(0.0%\);\-"/>
    <numFmt numFmtId="169" formatCode="#,##0;\(#,##0\);\-"/>
    <numFmt numFmtId="170" formatCode="#,##0.0;\(#,##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93C"/>
        <bgColor rgb="FF1F3A4D"/>
      </patternFill>
    </fill>
    <fill>
      <patternFill patternType="solid">
        <fgColor rgb="FFFFE700"/>
        <bgColor rgb="FFFFFF00"/>
      </patternFill>
    </fill>
    <fill>
      <patternFill patternType="solid">
        <fgColor rgb="FF1F3A4D"/>
        <bgColor rgb="FF1C293C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E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E7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1C293C"/>
      <rgbColor rgb="FF339966"/>
      <rgbColor rgb="FF003300"/>
      <rgbColor rgb="FF333300"/>
      <rgbColor rgb="FF993300"/>
      <rgbColor rgb="FF993366"/>
      <rgbColor rgb="FF555555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flow, KZT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Cashflow!G4</c:f>
              <c:strCache>
                <c:ptCount val="1"/>
                <c:pt idx="0">
                  <c:v>Target: Cumulative cash flow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Cashflow!$A$5:$A$52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Cashflow!$G$5:$G$52</c:f>
              <c:numCache>
                <c:formatCode>#,##0;\(#,##0\);\-</c:formatCode>
                <c:ptCount val="48"/>
                <c:pt idx="0">
                  <c:v>-1158333.33333333</c:v>
                </c:pt>
                <c:pt idx="1">
                  <c:v>-2941666.66666667</c:v>
                </c:pt>
                <c:pt idx="2">
                  <c:v>-4837000</c:v>
                </c:pt>
                <c:pt idx="3">
                  <c:v>-5211183.67346939</c:v>
                </c:pt>
                <c:pt idx="4">
                  <c:v>-5419217.68707483</c:v>
                </c:pt>
                <c:pt idx="5">
                  <c:v>-5561102.04081633</c:v>
                </c:pt>
                <c:pt idx="6">
                  <c:v>-5636836.73469388</c:v>
                </c:pt>
                <c:pt idx="7">
                  <c:v>-5646421.76870748</c:v>
                </c:pt>
                <c:pt idx="8">
                  <c:v>-5589857.14285714</c:v>
                </c:pt>
                <c:pt idx="9">
                  <c:v>-5467142.85714286</c:v>
                </c:pt>
                <c:pt idx="10">
                  <c:v>-5278278.91156463</c:v>
                </c:pt>
                <c:pt idx="11">
                  <c:v>-5023265.30612245</c:v>
                </c:pt>
                <c:pt idx="12">
                  <c:v>-4756768.70748299</c:v>
                </c:pt>
                <c:pt idx="13">
                  <c:v>-4424122.44897959</c:v>
                </c:pt>
                <c:pt idx="14">
                  <c:v>-4025326.53061225</c:v>
                </c:pt>
                <c:pt idx="15">
                  <c:v>-3560380.95238095</c:v>
                </c:pt>
                <c:pt idx="16">
                  <c:v>-3029285.71428571</c:v>
                </c:pt>
                <c:pt idx="17">
                  <c:v>-2432040.81632653</c:v>
                </c:pt>
                <c:pt idx="18">
                  <c:v>-1768646.2585034</c:v>
                </c:pt>
                <c:pt idx="19">
                  <c:v>-1039102.04081633</c:v>
                </c:pt>
                <c:pt idx="20">
                  <c:v>-243408.163265306</c:v>
                </c:pt>
                <c:pt idx="21">
                  <c:v>618435.37414966</c:v>
                </c:pt>
                <c:pt idx="22">
                  <c:v>1546428.57142857</c:v>
                </c:pt>
                <c:pt idx="23">
                  <c:v>2540571.42857143</c:v>
                </c:pt>
                <c:pt idx="24">
                  <c:v>3534714.28571429</c:v>
                </c:pt>
                <c:pt idx="25">
                  <c:v>4528857.14285714</c:v>
                </c:pt>
                <c:pt idx="26">
                  <c:v>5523000</c:v>
                </c:pt>
                <c:pt idx="27">
                  <c:v>6517142.85714286</c:v>
                </c:pt>
                <c:pt idx="28">
                  <c:v>7511285.71428572</c:v>
                </c:pt>
                <c:pt idx="29">
                  <c:v>8505428.57142857</c:v>
                </c:pt>
                <c:pt idx="30">
                  <c:v>9499571.42857143</c:v>
                </c:pt>
                <c:pt idx="31">
                  <c:v>10493714.2857143</c:v>
                </c:pt>
                <c:pt idx="32">
                  <c:v>11487857.1428571</c:v>
                </c:pt>
                <c:pt idx="33">
                  <c:v>12482000</c:v>
                </c:pt>
                <c:pt idx="34">
                  <c:v>13476142.8571429</c:v>
                </c:pt>
                <c:pt idx="35">
                  <c:v>14470285.7142857</c:v>
                </c:pt>
                <c:pt idx="36">
                  <c:v>15464428.5714286</c:v>
                </c:pt>
                <c:pt idx="37">
                  <c:v>16458571.4285714</c:v>
                </c:pt>
                <c:pt idx="38">
                  <c:v>17452714.2857143</c:v>
                </c:pt>
                <c:pt idx="39">
                  <c:v>18446857.1428571</c:v>
                </c:pt>
                <c:pt idx="40">
                  <c:v>19441000</c:v>
                </c:pt>
                <c:pt idx="41">
                  <c:v>20435142.8571429</c:v>
                </c:pt>
                <c:pt idx="42">
                  <c:v>21429285.7142857</c:v>
                </c:pt>
                <c:pt idx="43">
                  <c:v>22423428.5714286</c:v>
                </c:pt>
                <c:pt idx="44">
                  <c:v>23417571.4285714</c:v>
                </c:pt>
                <c:pt idx="45">
                  <c:v>24411714.2857143</c:v>
                </c:pt>
                <c:pt idx="46">
                  <c:v>25405857.1428571</c:v>
                </c:pt>
                <c:pt idx="47">
                  <c:v>26400000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Cashflow!M4</c:f>
              <c:strCache>
                <c:ptCount val="1"/>
                <c:pt idx="0">
                  <c:v>−30%: Cumulative cash flow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Cashflow!$A$5:$A$52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Cashflow!$M$5:$M$52</c:f>
              <c:numCache>
                <c:formatCode>#,##0;\(#,##0\);\-</c:formatCode>
                <c:ptCount val="48"/>
                <c:pt idx="0">
                  <c:v>-1158333.33333333</c:v>
                </c:pt>
                <c:pt idx="1">
                  <c:v>-2941666.66666667</c:v>
                </c:pt>
                <c:pt idx="2">
                  <c:v>-4837000</c:v>
                </c:pt>
                <c:pt idx="3">
                  <c:v>-5231028.57142857</c:v>
                </c:pt>
                <c:pt idx="4">
                  <c:v>-5478752.38095238</c:v>
                </c:pt>
                <c:pt idx="5">
                  <c:v>-5680171.42857143</c:v>
                </c:pt>
                <c:pt idx="6">
                  <c:v>-5835285.71428572</c:v>
                </c:pt>
                <c:pt idx="7">
                  <c:v>-5944095.23809524</c:v>
                </c:pt>
                <c:pt idx="8">
                  <c:v>-6006600</c:v>
                </c:pt>
                <c:pt idx="9">
                  <c:v>-6022800</c:v>
                </c:pt>
                <c:pt idx="10">
                  <c:v>-5992695.23809524</c:v>
                </c:pt>
                <c:pt idx="11">
                  <c:v>-5916285.71428572</c:v>
                </c:pt>
                <c:pt idx="12">
                  <c:v>-5848238.0952381</c:v>
                </c:pt>
                <c:pt idx="13">
                  <c:v>-5733885.71428572</c:v>
                </c:pt>
                <c:pt idx="14">
                  <c:v>-5573228.57142857</c:v>
                </c:pt>
                <c:pt idx="15">
                  <c:v>-5366266.66666667</c:v>
                </c:pt>
                <c:pt idx="16">
                  <c:v>-5113000</c:v>
                </c:pt>
                <c:pt idx="17">
                  <c:v>-4813428.57142857</c:v>
                </c:pt>
                <c:pt idx="18">
                  <c:v>-4467552.38095238</c:v>
                </c:pt>
                <c:pt idx="19">
                  <c:v>-4075371.42857143</c:v>
                </c:pt>
                <c:pt idx="20">
                  <c:v>-3636885.71428572</c:v>
                </c:pt>
                <c:pt idx="21">
                  <c:v>-3152095.23809524</c:v>
                </c:pt>
                <c:pt idx="22">
                  <c:v>-2621000</c:v>
                </c:pt>
                <c:pt idx="23">
                  <c:v>-2043600</c:v>
                </c:pt>
                <c:pt idx="24">
                  <c:v>-1466200</c:v>
                </c:pt>
                <c:pt idx="25">
                  <c:v>-888800.000000003</c:v>
                </c:pt>
                <c:pt idx="26">
                  <c:v>-311400.000000003</c:v>
                </c:pt>
                <c:pt idx="27">
                  <c:v>265999.999999997</c:v>
                </c:pt>
                <c:pt idx="28">
                  <c:v>843399.999999997</c:v>
                </c:pt>
                <c:pt idx="29">
                  <c:v>1420800</c:v>
                </c:pt>
                <c:pt idx="30">
                  <c:v>1998200</c:v>
                </c:pt>
                <c:pt idx="31">
                  <c:v>2575600</c:v>
                </c:pt>
                <c:pt idx="32">
                  <c:v>3153000</c:v>
                </c:pt>
                <c:pt idx="33">
                  <c:v>3730400</c:v>
                </c:pt>
                <c:pt idx="34">
                  <c:v>4307800</c:v>
                </c:pt>
                <c:pt idx="35">
                  <c:v>4885200</c:v>
                </c:pt>
                <c:pt idx="36">
                  <c:v>5462600</c:v>
                </c:pt>
                <c:pt idx="37">
                  <c:v>6040000</c:v>
                </c:pt>
                <c:pt idx="38">
                  <c:v>6617400</c:v>
                </c:pt>
                <c:pt idx="39">
                  <c:v>7194800</c:v>
                </c:pt>
                <c:pt idx="40">
                  <c:v>7772200</c:v>
                </c:pt>
                <c:pt idx="41">
                  <c:v>8349600</c:v>
                </c:pt>
                <c:pt idx="42">
                  <c:v>8927000</c:v>
                </c:pt>
                <c:pt idx="43">
                  <c:v>9504400</c:v>
                </c:pt>
                <c:pt idx="44">
                  <c:v>10081800</c:v>
                </c:pt>
                <c:pt idx="45">
                  <c:v>10659200</c:v>
                </c:pt>
                <c:pt idx="46">
                  <c:v>11236600</c:v>
                </c:pt>
                <c:pt idx="47">
                  <c:v>11814000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Cashflow!S4</c:f>
              <c:strCache>
                <c:ptCount val="1"/>
                <c:pt idx="0">
                  <c:v>Stress: Cumulative cash flow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Cashflow!$A$5:$A$52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Cashflow!$S$5:$S$52</c:f>
              <c:numCache>
                <c:formatCode>#,##0;\(#,##0\);\-</c:formatCode>
                <c:ptCount val="48"/>
                <c:pt idx="0">
                  <c:v>-1158333.33333333</c:v>
                </c:pt>
                <c:pt idx="1">
                  <c:v>-2941666.66666667</c:v>
                </c:pt>
                <c:pt idx="2">
                  <c:v>-4837000</c:v>
                </c:pt>
                <c:pt idx="3">
                  <c:v>-5277333.33333333</c:v>
                </c:pt>
                <c:pt idx="4">
                  <c:v>-5617666.66666667</c:v>
                </c:pt>
                <c:pt idx="5">
                  <c:v>-5935950.11337868</c:v>
                </c:pt>
                <c:pt idx="6">
                  <c:v>-6232183.67346939</c:v>
                </c:pt>
                <c:pt idx="7">
                  <c:v>-6506367.34693878</c:v>
                </c:pt>
                <c:pt idx="8">
                  <c:v>-6758501.13378685</c:v>
                </c:pt>
                <c:pt idx="9">
                  <c:v>-6988585.03401361</c:v>
                </c:pt>
                <c:pt idx="10">
                  <c:v>-7196619.04761905</c:v>
                </c:pt>
                <c:pt idx="11">
                  <c:v>-7382603.17460317</c:v>
                </c:pt>
                <c:pt idx="12">
                  <c:v>-7601204.08163265</c:v>
                </c:pt>
                <c:pt idx="13">
                  <c:v>-7797755.10204082</c:v>
                </c:pt>
                <c:pt idx="14">
                  <c:v>-7972256.23582766</c:v>
                </c:pt>
                <c:pt idx="15">
                  <c:v>-8124707.4829932</c:v>
                </c:pt>
                <c:pt idx="16">
                  <c:v>-8255108.84353741</c:v>
                </c:pt>
                <c:pt idx="17">
                  <c:v>-8363460.31746032</c:v>
                </c:pt>
                <c:pt idx="18">
                  <c:v>-8449761.9047619</c:v>
                </c:pt>
                <c:pt idx="19">
                  <c:v>-8514013.60544218</c:v>
                </c:pt>
                <c:pt idx="20">
                  <c:v>-8556215.41950113</c:v>
                </c:pt>
                <c:pt idx="21">
                  <c:v>-8576367.34693877</c:v>
                </c:pt>
                <c:pt idx="22">
                  <c:v>-8574469.3877551</c:v>
                </c:pt>
                <c:pt idx="23">
                  <c:v>-8550521.54195011</c:v>
                </c:pt>
                <c:pt idx="24">
                  <c:v>-8504523.80952381</c:v>
                </c:pt>
                <c:pt idx="25">
                  <c:v>-8436476.19047619</c:v>
                </c:pt>
                <c:pt idx="26">
                  <c:v>-8368428.57142857</c:v>
                </c:pt>
                <c:pt idx="27">
                  <c:v>-8300380.95238095</c:v>
                </c:pt>
                <c:pt idx="28">
                  <c:v>-8232333.33333333</c:v>
                </c:pt>
                <c:pt idx="29">
                  <c:v>-8164285.71428571</c:v>
                </c:pt>
                <c:pt idx="30">
                  <c:v>-8096238.09523809</c:v>
                </c:pt>
                <c:pt idx="31">
                  <c:v>-8028190.47619047</c:v>
                </c:pt>
                <c:pt idx="32">
                  <c:v>-7960142.85714285</c:v>
                </c:pt>
                <c:pt idx="33">
                  <c:v>-7892095.23809523</c:v>
                </c:pt>
                <c:pt idx="34">
                  <c:v>-7824047.61904761</c:v>
                </c:pt>
                <c:pt idx="35">
                  <c:v>-7755999.99999999</c:v>
                </c:pt>
                <c:pt idx="36">
                  <c:v>-7687952.38095237</c:v>
                </c:pt>
                <c:pt idx="37">
                  <c:v>-7619904.76190475</c:v>
                </c:pt>
                <c:pt idx="38">
                  <c:v>-7551857.14285713</c:v>
                </c:pt>
                <c:pt idx="39">
                  <c:v>-7483809.52380952</c:v>
                </c:pt>
                <c:pt idx="40">
                  <c:v>-7415761.9047619</c:v>
                </c:pt>
                <c:pt idx="41">
                  <c:v>-7347714.28571428</c:v>
                </c:pt>
                <c:pt idx="42">
                  <c:v>-7279666.66666666</c:v>
                </c:pt>
                <c:pt idx="43">
                  <c:v>-7211619.04761904</c:v>
                </c:pt>
                <c:pt idx="44">
                  <c:v>-7143571.42857142</c:v>
                </c:pt>
                <c:pt idx="45">
                  <c:v>-7075523.8095238</c:v>
                </c:pt>
                <c:pt idx="46">
                  <c:v>-7007476.19047618</c:v>
                </c:pt>
                <c:pt idx="47">
                  <c:v>-6939428.57142856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720403"/>
        <c:axId val="57671194"/>
      </c:lineChart>
      <c:catAx>
        <c:axId val="60720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1194"/>
        <c:crosses val="autoZero"/>
        <c:auto val="1"/>
        <c:lblAlgn val="ctr"/>
        <c:lblOffset val="100"/>
        <c:noMultiLvlLbl val="0"/>
      </c:catAx>
      <c:valAx>
        <c:axId val="57671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KZT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20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17</xdr:col>
      <xdr:colOff>581400</xdr:colOff>
      <xdr:row>18</xdr:row>
      <xdr:rowOff>161280</xdr:rowOff>
    </xdr:to>
    <xdr:graphicFrame>
      <xdr:nvGraphicFramePr>
        <xdr:cNvPr id="0" name="Chart 1"/>
        <xdr:cNvGraphicFramePr/>
      </xdr:nvGraphicFramePr>
      <xdr:xfrm>
        <a:off x="8646840" y="379800"/>
        <a:ext cx="791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14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3"/>
      <c r="C4" s="3"/>
    </row>
    <row r="5" customFormat="false" ht="15" hidden="false" customHeight="false" outlineLevel="0" collapsed="false">
      <c r="A5" s="0" t="str">
        <f aca="false">Budget_8M!B5</f>
        <v>Senior full-stack developer (contract)</v>
      </c>
      <c r="B5" s="4" t="n">
        <f aca="false">Budget_8M!D5</f>
        <v>2100000</v>
      </c>
    </row>
    <row r="6" customFormat="false" ht="15" hidden="false" customHeight="false" outlineLevel="0" collapsed="false">
      <c r="A6" s="0" t="str">
        <f aca="false">Budget_8M!B6</f>
        <v>UX/UI design finishing (freelance)</v>
      </c>
      <c r="B6" s="4" t="n">
        <f aca="false">Budget_8M!D6</f>
        <v>400000</v>
      </c>
    </row>
    <row r="7" customFormat="false" ht="15" hidden="false" customHeight="false" outlineLevel="0" collapsed="false">
      <c r="A7" s="0" t="str">
        <f aca="false">Budget_8M!B7</f>
        <v>Localization ZH + EN, native proofreading</v>
      </c>
      <c r="B7" s="4" t="n">
        <f aca="false">Budget_8M!D7</f>
        <v>600000</v>
      </c>
    </row>
    <row r="8" customFormat="false" ht="15" hidden="false" customHeight="false" outlineLevel="0" collapsed="false">
      <c r="A8" s="0" t="str">
        <f aca="false">Budget_8M!B8</f>
        <v>Legal: offer, refund rules, privacy, PD consent</v>
      </c>
      <c r="B8" s="4" t="n">
        <f aca="false">Budget_8M!D8</f>
        <v>450000</v>
      </c>
    </row>
    <row r="9" customFormat="false" ht="15" hidden="false" customHeight="false" outlineLevel="0" collapsed="false">
      <c r="A9" s="0" t="str">
        <f aca="false">Budget_8M!B9</f>
        <v>Payment provider onboarding + real test payments</v>
      </c>
      <c r="B9" s="4" t="n">
        <f aca="false">Budget_8M!D9</f>
        <v>150000</v>
      </c>
    </row>
    <row r="10" customFormat="false" ht="15" hidden="false" customHeight="false" outlineLevel="0" collapsed="false">
      <c r="A10" s="0" t="str">
        <f aca="false">Budget_8M!B10</f>
        <v>Guide videos + tour photos (4 guides, 4 tours)</v>
      </c>
      <c r="B10" s="4" t="n">
        <f aca="false">Budget_8M!D10</f>
        <v>500000</v>
      </c>
    </row>
    <row r="11" customFormat="false" ht="15" hidden="false" customHeight="false" outlineLevel="0" collapsed="false">
      <c r="A11" s="0" t="str">
        <f aca="false">Budget_8M!B11</f>
        <v>Pre-launch security review</v>
      </c>
      <c r="B11" s="4" t="n">
        <f aca="false">Budget_8M!D11</f>
        <v>250000</v>
      </c>
    </row>
    <row r="12" customFormat="false" ht="15" hidden="false" customHeight="false" outlineLevel="0" collapsed="false">
      <c r="A12" s="0" t="str">
        <f aca="false">Budget_8M!B12</f>
        <v>Interviews + usability tests (incentives, recruiting)</v>
      </c>
      <c r="B12" s="4" t="n">
        <f aca="false">Budget_8M!D12</f>
        <v>250000</v>
      </c>
    </row>
    <row r="13" customFormat="false" ht="15" hidden="false" customHeight="false" outlineLevel="0" collapsed="false">
      <c r="A13" s="0" t="str">
        <f aca="false">Budget_8M!B14</f>
        <v>Printed postcards + QR cards</v>
      </c>
      <c r="B13" s="4" t="n">
        <f aca="false">Budget_8M!D14</f>
        <v>100000</v>
      </c>
    </row>
    <row r="14" customFormat="false" ht="15" hidden="false" customHeight="false" outlineLevel="0" collapsed="false">
      <c r="A14" s="5" t="s">
        <v>3</v>
      </c>
      <c r="B14" s="6" t="n">
        <f aca="false">SUM(B5:B13)</f>
        <v>4800000</v>
      </c>
    </row>
    <row r="16" customFormat="false" ht="15" hidden="false" customHeight="false" outlineLevel="0" collapsed="false">
      <c r="A16" s="2" t="s">
        <v>4</v>
      </c>
      <c r="B16" s="3"/>
      <c r="C16" s="3"/>
    </row>
    <row r="17" customFormat="false" ht="15" hidden="false" customHeight="false" outlineLevel="0" collapsed="false">
      <c r="A17" s="0" t="s">
        <v>5</v>
      </c>
      <c r="B17" s="0" t="s">
        <v>6</v>
      </c>
      <c r="C17" s="0" t="s">
        <v>7</v>
      </c>
    </row>
    <row r="18" customFormat="false" ht="15" hidden="false" customHeight="false" outlineLevel="0" collapsed="false">
      <c r="A18" s="0" t="str">
        <f aca="false">Budget_8M!B13</f>
        <v>Xiaohongshu content + KOC collaborations</v>
      </c>
      <c r="B18" s="4" t="n">
        <f aca="false">Budget_8M!D13/(Budget_8M!F13-Budget_8M!E13+1)</f>
        <v>133333.333333333</v>
      </c>
      <c r="C18" s="0" t="str">
        <f aca="false">"M"&amp;Budget_8M!E13&amp;"–"&amp;Budget_8M!F13</f>
        <v>M4–12</v>
      </c>
    </row>
    <row r="19" customFormat="false" ht="15" hidden="false" customHeight="false" outlineLevel="0" collapsed="false">
      <c r="A19" s="0" t="str">
        <f aca="false">Budget_8M!B15</f>
        <v>Hosting, CDN, database, domain, e-mail, monitoring</v>
      </c>
      <c r="B19" s="4" t="n">
        <f aca="false">Budget_8M!D15/(Budget_8M!F15-Budget_8M!E15+1)</f>
        <v>25000</v>
      </c>
      <c r="C19" s="0" t="str">
        <f aca="false">"M"&amp;Budget_8M!E15&amp;"–"&amp;Budget_8M!F15</f>
        <v>M1–12</v>
      </c>
    </row>
    <row r="20" customFormat="false" ht="15" hidden="false" customHeight="false" outlineLevel="0" collapsed="false">
      <c r="A20" s="0" t="str">
        <f aca="false">Budget_8M!B16</f>
        <v>Chinese-speaking support, part-time</v>
      </c>
      <c r="B20" s="4" t="n">
        <f aca="false">Budget_8M!D16/(Budget_8M!F16-Budget_8M!E16+1)</f>
        <v>120000</v>
      </c>
      <c r="C20" s="0" t="str">
        <f aca="false">"M"&amp;Budget_8M!E16&amp;"–"&amp;Budget_8M!F16</f>
        <v>M4–12</v>
      </c>
    </row>
    <row r="21" customFormat="false" ht="15" hidden="false" customHeight="false" outlineLevel="0" collapsed="false">
      <c r="A21" s="0" t="str">
        <f aca="false">Budget_8M!B17</f>
        <v>Contingency reserve (assumed fully used)</v>
      </c>
      <c r="B21" s="4" t="n">
        <f aca="false">Budget_8M!D17/(Budget_8M!F17-Budget_8M!E17+1)</f>
        <v>62000</v>
      </c>
      <c r="C21" s="0" t="str">
        <f aca="false">"M"&amp;Budget_8M!E17&amp;"–"&amp;Budget_8M!F17</f>
        <v>M3–12</v>
      </c>
    </row>
    <row r="22" customFormat="false" ht="15" hidden="false" customHeight="false" outlineLevel="0" collapsed="false">
      <c r="A22" s="5" t="s">
        <v>8</v>
      </c>
      <c r="C22" s="4" t="n">
        <f aca="false">Budget_8M!C39+Budget_8M!C41+Budget_8M!C42+Budget_8M!C43</f>
        <v>25000</v>
      </c>
      <c r="D22" s="4" t="n">
        <f aca="false">Budget_8M!D39+Budget_8M!D41+Budget_8M!D42+Budget_8M!D43</f>
        <v>25000</v>
      </c>
      <c r="E22" s="4" t="n">
        <f aca="false">Budget_8M!E39+Budget_8M!E41+Budget_8M!E42+Budget_8M!E43</f>
        <v>87000</v>
      </c>
      <c r="F22" s="4" t="n">
        <f aca="false">Budget_8M!F39+Budget_8M!F41+Budget_8M!F42+Budget_8M!F43</f>
        <v>340333.333333333</v>
      </c>
      <c r="G22" s="4" t="n">
        <f aca="false">Budget_8M!G39+Budget_8M!G41+Budget_8M!G42+Budget_8M!G43</f>
        <v>340333.333333333</v>
      </c>
      <c r="H22" s="4" t="n">
        <f aca="false">Budget_8M!H39+Budget_8M!H41+Budget_8M!H42+Budget_8M!H43</f>
        <v>340333.333333333</v>
      </c>
      <c r="I22" s="4" t="n">
        <f aca="false">Budget_8M!I39+Budget_8M!I41+Budget_8M!I42+Budget_8M!I43</f>
        <v>340333.333333333</v>
      </c>
      <c r="J22" s="4" t="n">
        <f aca="false">Budget_8M!J39+Budget_8M!J41+Budget_8M!J42+Budget_8M!J43</f>
        <v>340333.333333333</v>
      </c>
      <c r="K22" s="4" t="n">
        <f aca="false">Budget_8M!K39+Budget_8M!K41+Budget_8M!K42+Budget_8M!K43</f>
        <v>340333.333333333</v>
      </c>
      <c r="L22" s="4" t="n">
        <f aca="false">Budget_8M!L39+Budget_8M!L41+Budget_8M!L42+Budget_8M!L43</f>
        <v>340333.333333333</v>
      </c>
      <c r="M22" s="4" t="n">
        <f aca="false">Budget_8M!M39+Budget_8M!M41+Budget_8M!M42+Budget_8M!M43</f>
        <v>340333.333333333</v>
      </c>
      <c r="N22" s="4" t="n">
        <f aca="false">Budget_8M!N39+Budget_8M!N41+Budget_8M!N42+Budget_8M!N43</f>
        <v>340333.333333333</v>
      </c>
    </row>
    <row r="23" customFormat="false" ht="15" hidden="false" customHeight="false" outlineLevel="0" collapsed="false">
      <c r="A23" s="0" t="s">
        <v>9</v>
      </c>
    </row>
    <row r="24" customFormat="false" ht="15" hidden="false" customHeight="false" outlineLevel="0" collapsed="false">
      <c r="A24" s="0" t="s">
        <v>10</v>
      </c>
      <c r="B24" s="4" t="n">
        <f aca="false">Inputs!B24</f>
        <v>395000</v>
      </c>
    </row>
    <row r="26" customFormat="false" ht="15" hidden="false" customHeight="false" outlineLevel="0" collapsed="false">
      <c r="A26" s="2" t="s">
        <v>11</v>
      </c>
      <c r="B26" s="3"/>
      <c r="C26" s="3"/>
    </row>
    <row r="27" customFormat="false" ht="15" hidden="false" customHeight="false" outlineLevel="0" collapsed="false">
      <c r="A27" s="0" t="s">
        <v>12</v>
      </c>
      <c r="B27" s="4" t="n">
        <f aca="false">B14</f>
        <v>4800000</v>
      </c>
    </row>
    <row r="28" customFormat="false" ht="15" hidden="false" customHeight="false" outlineLevel="0" collapsed="false">
      <c r="A28" s="0" t="s">
        <v>13</v>
      </c>
      <c r="B28" s="4" t="n">
        <f aca="false">SUM(C22:N22)</f>
        <v>3200000</v>
      </c>
    </row>
    <row r="29" customFormat="false" ht="15" hidden="false" customHeight="false" outlineLevel="0" collapsed="false">
      <c r="A29" s="7" t="s">
        <v>14</v>
      </c>
      <c r="B29" s="8" t="n">
        <f aca="false">B27+B28</f>
        <v>8000000</v>
      </c>
    </row>
    <row r="30" customFormat="false" ht="15" hidden="false" customHeight="false" outlineLevel="0" collapsed="false">
      <c r="A30" s="0" t="s">
        <v>15</v>
      </c>
      <c r="B30" s="4" t="n">
        <v>20000000</v>
      </c>
    </row>
    <row r="31" customFormat="false" ht="15" hidden="false" customHeight="false" outlineLevel="0" collapsed="false">
      <c r="A31" s="0" t="s">
        <v>16</v>
      </c>
      <c r="B31" s="0" t="str">
        <f aca="false">IF(B29&lt;=B30,"within limit","OVER LIMIT")</f>
        <v>within limit</v>
      </c>
    </row>
    <row r="32" customFormat="false" ht="15" hidden="false" customHeight="false" outlineLevel="0" collapsed="false">
      <c r="A32" s="0" t="s">
        <v>17</v>
      </c>
      <c r="B32" s="0" t="str">
        <f aca="false">IF(B29=Budget_8M!D18,"OK","CHECK")</f>
        <v>OK</v>
      </c>
    </row>
    <row r="34" customFormat="false" ht="15" hidden="false" customHeight="false" outlineLevel="0" collapsed="false">
      <c r="A34" s="2" t="s">
        <v>18</v>
      </c>
      <c r="B34" s="3"/>
      <c r="C34" s="3"/>
    </row>
    <row r="35" customFormat="false" ht="15" hidden="false" customHeight="false" outlineLevel="0" collapsed="false">
      <c r="A35" s="0" t="s">
        <v>19</v>
      </c>
      <c r="B35" s="4" t="n">
        <f aca="false">Inputs!B4</f>
        <v>44000</v>
      </c>
    </row>
    <row r="36" customFormat="false" ht="15" hidden="false" customHeight="false" outlineLevel="0" collapsed="false">
      <c r="A36" s="0" t="s">
        <v>20</v>
      </c>
      <c r="B36" s="9" t="n">
        <f aca="false">Inputs!B5</f>
        <v>0.3</v>
      </c>
    </row>
    <row r="37" customFormat="false" ht="15" hidden="false" customHeight="false" outlineLevel="0" collapsed="false">
      <c r="A37" s="0" t="s">
        <v>21</v>
      </c>
      <c r="B37" s="4" t="n">
        <f aca="false">Inputs!B17</f>
        <v>13200</v>
      </c>
    </row>
    <row r="38" customFormat="false" ht="15" hidden="false" customHeight="false" outlineLevel="0" collapsed="false">
      <c r="A38" s="0" t="s">
        <v>22</v>
      </c>
      <c r="B38" s="4" t="n">
        <f aca="false">Inputs!B22</f>
        <v>1262.85714285714</v>
      </c>
    </row>
    <row r="39" customFormat="false" ht="15" hidden="false" customHeight="false" outlineLevel="0" collapsed="false">
      <c r="A39" s="0" t="s">
        <v>23</v>
      </c>
      <c r="B39" s="10" t="n">
        <f aca="false">Inputs!B9</f>
        <v>4</v>
      </c>
    </row>
    <row r="40" customFormat="false" ht="15" hidden="false" customHeight="false" outlineLevel="0" collapsed="false">
      <c r="A40" s="0" t="s">
        <v>24</v>
      </c>
      <c r="B40" s="10" t="n">
        <f aca="false">Inputs!B25</f>
        <v>29.9242424242424</v>
      </c>
    </row>
    <row r="42" customFormat="false" ht="15" hidden="false" customHeight="false" outlineLevel="0" collapsed="false">
      <c r="A42" s="2" t="s">
        <v>25</v>
      </c>
      <c r="B42" s="3"/>
      <c r="C42" s="3"/>
    </row>
    <row r="43" customFormat="false" ht="41.75" hidden="false" customHeight="false" outlineLevel="0" collapsed="false">
      <c r="B43" s="11" t="str">
        <f aca="false">Summary!B3</f>
        <v>Company target (100%)</v>
      </c>
      <c r="C43" s="11" t="str">
        <f aca="false">Summary!C3</f>
        <v>Worst case −30% (required)</v>
      </c>
      <c r="D43" s="11" t="str">
        <f aca="false">Summary!D3</f>
        <v>Stress test</v>
      </c>
    </row>
    <row r="44" customFormat="false" ht="15" hidden="false" customHeight="false" outlineLevel="0" collapsed="false">
      <c r="A44" s="0" t="s">
        <v>26</v>
      </c>
      <c r="B44" s="10" t="n">
        <f aca="false">Summary!B15</f>
        <v>22</v>
      </c>
      <c r="C44" s="10" t="n">
        <f aca="false">Summary!C15</f>
        <v>28</v>
      </c>
      <c r="D44" s="10" t="str">
        <f aca="false">Summary!D15</f>
        <v>not within 60</v>
      </c>
    </row>
    <row r="45" customFormat="false" ht="15" hidden="false" customHeight="false" outlineLevel="0" collapsed="false">
      <c r="A45" s="0" t="s">
        <v>27</v>
      </c>
      <c r="B45" s="4" t="n">
        <f aca="false">Summary!B12</f>
        <v>-5646421.76870748</v>
      </c>
      <c r="C45" s="4" t="n">
        <f aca="false">Summary!C12</f>
        <v>-6022800</v>
      </c>
      <c r="D45" s="4" t="n">
        <f aca="false">Summary!D12</f>
        <v>-8576367.34693877</v>
      </c>
    </row>
    <row r="46" customFormat="false" ht="15" hidden="false" customHeight="false" outlineLevel="0" collapsed="false">
      <c r="A46" s="0" t="s">
        <v>28</v>
      </c>
      <c r="B46" s="10" t="n">
        <f aca="false">Summary!B13</f>
        <v>8</v>
      </c>
      <c r="C46" s="10" t="n">
        <f aca="false">Summary!C13</f>
        <v>10</v>
      </c>
      <c r="D46" s="10" t="n">
        <f aca="false">Summary!D13</f>
        <v>22</v>
      </c>
    </row>
    <row r="47" customFormat="false" ht="15" hidden="false" customHeight="false" outlineLevel="0" collapsed="false">
      <c r="A47" s="0" t="s">
        <v>29</v>
      </c>
      <c r="B47" s="4" t="n">
        <f aca="false">Summary!B16</f>
        <v>26400000</v>
      </c>
      <c r="C47" s="4" t="n">
        <f aca="false">Summary!C16</f>
        <v>11814000</v>
      </c>
      <c r="D47" s="4" t="n">
        <f aca="false">Summary!D16</f>
        <v>-6939428.57142856</v>
      </c>
    </row>
    <row r="48" customFormat="false" ht="15" hidden="false" customHeight="false" outlineLevel="0" collapsed="false">
      <c r="A48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60"/>
    <col collapsed="false" customWidth="true" hidden="false" outlineLevel="0" max="4" min="2" style="12" width="18"/>
  </cols>
  <sheetData>
    <row r="1" customFormat="false" ht="17.25" hidden="false" customHeight="true" outlineLevel="0" collapsed="false">
      <c r="A1" s="13" t="s">
        <v>31</v>
      </c>
      <c r="B1" s="14"/>
      <c r="C1" s="14"/>
      <c r="D1" s="14"/>
    </row>
    <row r="2" customFormat="false" ht="15" hidden="false" customHeight="true" outlineLevel="0" collapsed="false">
      <c r="A2" s="14"/>
      <c r="B2" s="14"/>
      <c r="C2" s="14"/>
      <c r="D2" s="14"/>
    </row>
    <row r="3" customFormat="false" ht="15" hidden="false" customHeight="true" outlineLevel="0" collapsed="false">
      <c r="A3" s="15" t="s">
        <v>32</v>
      </c>
      <c r="B3" s="15" t="s">
        <v>33</v>
      </c>
      <c r="C3" s="15" t="s">
        <v>34</v>
      </c>
      <c r="D3" s="15" t="s">
        <v>35</v>
      </c>
    </row>
    <row r="4" customFormat="false" ht="15" hidden="false" customHeight="true" outlineLevel="0" collapsed="false">
      <c r="A4" s="16" t="s">
        <v>36</v>
      </c>
      <c r="B4" s="17" t="n">
        <f aca="false">Inputs!C29</f>
        <v>0.3</v>
      </c>
      <c r="C4" s="17" t="n">
        <f aca="false">Inputs!C30</f>
        <v>0.3</v>
      </c>
      <c r="D4" s="17" t="n">
        <f aca="false">Inputs!C31</f>
        <v>0.25</v>
      </c>
    </row>
    <row r="5" customFormat="false" ht="15" hidden="false" customHeight="true" outlineLevel="0" collapsed="false">
      <c r="A5" s="16" t="s">
        <v>37</v>
      </c>
      <c r="B5" s="17" t="n">
        <f aca="false">Inputs!B29</f>
        <v>1</v>
      </c>
      <c r="C5" s="17" t="n">
        <f aca="false">Inputs!B30</f>
        <v>0.7</v>
      </c>
      <c r="D5" s="17" t="n">
        <f aca="false">Inputs!B31</f>
        <v>0.4</v>
      </c>
    </row>
    <row r="6" customFormat="false" ht="15" hidden="false" customHeight="true" outlineLevel="0" collapsed="false">
      <c r="A6" s="16" t="s">
        <v>38</v>
      </c>
      <c r="B6" s="18" t="n">
        <f aca="false">Inputs!$B$9+Inputs!D29</f>
        <v>4</v>
      </c>
      <c r="C6" s="18" t="n">
        <f aca="false">Inputs!$B$9+Inputs!D30</f>
        <v>4</v>
      </c>
      <c r="D6" s="18" t="n">
        <f aca="false">Inputs!$B$9+Inputs!D31</f>
        <v>6</v>
      </c>
    </row>
    <row r="7" customFormat="false" ht="15" hidden="false" customHeight="true" outlineLevel="0" collapsed="false">
      <c r="A7" s="16" t="s">
        <v>39</v>
      </c>
      <c r="B7" s="19" t="n">
        <f aca="false">SUM(Cashflow!C5:C16)</f>
        <v>225.510204081633</v>
      </c>
      <c r="C7" s="19" t="n">
        <f aca="false">SUM(Cashflow!I5:I16)</f>
        <v>157.857142857143</v>
      </c>
      <c r="D7" s="19" t="n">
        <f aca="false">SUM(Cashflow!O5:O16)</f>
        <v>56.1269841269841</v>
      </c>
    </row>
    <row r="8" customFormat="false" ht="15" hidden="false" customHeight="true" outlineLevel="0" collapsed="false">
      <c r="A8" s="16" t="s">
        <v>40</v>
      </c>
      <c r="B8" s="19" t="n">
        <f aca="false">SUM(Cashflow!C17:C28)</f>
        <v>932.108843537415</v>
      </c>
      <c r="C8" s="19" t="n">
        <f aca="false">SUM(Cashflow!I17:I28)</f>
        <v>652.47619047619</v>
      </c>
      <c r="D8" s="19" t="n">
        <f aca="false">SUM(Cashflow!O17:O28)</f>
        <v>324.734693877551</v>
      </c>
    </row>
    <row r="9" customFormat="false" ht="15" hidden="false" customHeight="true" outlineLevel="0" collapsed="false">
      <c r="A9" s="16" t="s">
        <v>41</v>
      </c>
      <c r="B9" s="19" t="n">
        <f aca="false">SUM(Cashflow!C29:C40)</f>
        <v>1262.85714285714</v>
      </c>
      <c r="C9" s="19" t="n">
        <f aca="false">SUM(Cashflow!I29:I40)</f>
        <v>884</v>
      </c>
      <c r="D9" s="19" t="n">
        <f aca="false">SUM(Cashflow!O29:O40)</f>
        <v>503.138321995465</v>
      </c>
    </row>
    <row r="10" customFormat="false" ht="15" hidden="false" customHeight="true" outlineLevel="0" collapsed="false">
      <c r="A10" s="16" t="s">
        <v>42</v>
      </c>
      <c r="B10" s="19" t="n">
        <f aca="false">SUM(Cashflow!D5:D52)</f>
        <v>162066666.666667</v>
      </c>
      <c r="C10" s="19" t="n">
        <f aca="false">SUM(Cashflow!J5:J52)</f>
        <v>113446666.666667</v>
      </c>
      <c r="D10" s="19" t="n">
        <f aca="false">SUM(Cashflow!P5:P52)</f>
        <v>61122285.7142857</v>
      </c>
    </row>
    <row r="11" customFormat="false" ht="15" hidden="false" customHeight="true" outlineLevel="0" collapsed="false">
      <c r="A11" s="16" t="s">
        <v>43</v>
      </c>
      <c r="B11" s="19" t="n">
        <f aca="false">SUM(Cashflow!E5:E52)</f>
        <v>48620000</v>
      </c>
      <c r="C11" s="19" t="n">
        <f aca="false">SUM(Cashflow!K5:K52)</f>
        <v>34034000</v>
      </c>
      <c r="D11" s="19" t="n">
        <f aca="false">SUM(Cashflow!Q5:Q52)</f>
        <v>15280571.4285714</v>
      </c>
    </row>
    <row r="12" customFormat="false" ht="15" hidden="false" customHeight="true" outlineLevel="0" collapsed="false">
      <c r="A12" s="16" t="s">
        <v>27</v>
      </c>
      <c r="B12" s="19" t="n">
        <f aca="false">MIN(Cashflow!$G$5:$G$64)</f>
        <v>-5646421.76870748</v>
      </c>
      <c r="C12" s="19" t="n">
        <f aca="false">MIN(Cashflow!$M$5:$M$64)</f>
        <v>-6022800</v>
      </c>
      <c r="D12" s="19" t="n">
        <f aca="false">MIN(Cashflow!$S$5:$S$64)</f>
        <v>-8576367.34693877</v>
      </c>
    </row>
    <row r="13" customFormat="false" ht="15" hidden="false" customHeight="true" outlineLevel="0" collapsed="false">
      <c r="A13" s="16" t="s">
        <v>28</v>
      </c>
      <c r="B13" s="20" t="n">
        <f aca="false">MATCH(MIN(Cashflow!$G$5:$G$64),Cashflow!$G$5:$G$64,0)</f>
        <v>8</v>
      </c>
      <c r="C13" s="20" t="n">
        <f aca="false">MATCH(MIN(Cashflow!$M$5:$M$64),Cashflow!$M$5:$M$64,0)</f>
        <v>10</v>
      </c>
      <c r="D13" s="20" t="n">
        <f aca="false">MATCH(MIN(Cashflow!$S$5:$S$64),Cashflow!$S$5:$S$64,0)</f>
        <v>22</v>
      </c>
    </row>
    <row r="14" customFormat="false" ht="15" hidden="false" customHeight="true" outlineLevel="0" collapsed="false">
      <c r="A14" s="16" t="s">
        <v>44</v>
      </c>
      <c r="B14" s="20" t="n">
        <f aca="false">IFERROR(MATCH(1,Cashflow!$H$5:$H$64,0),"not within 60")</f>
        <v>9</v>
      </c>
      <c r="C14" s="20" t="n">
        <f aca="false">IFERROR(MATCH(1,Cashflow!$N$5:$N$64,0),"not within 60")</f>
        <v>11</v>
      </c>
      <c r="D14" s="20" t="n">
        <f aca="false">IFERROR(MATCH(1,Cashflow!$T$5:$T$64,0),"not within 60")</f>
        <v>23</v>
      </c>
    </row>
    <row r="15" customFormat="false" ht="15" hidden="false" customHeight="true" outlineLevel="0" collapsed="false">
      <c r="A15" s="16" t="s">
        <v>45</v>
      </c>
      <c r="B15" s="20" t="n">
        <f aca="false">IF(COUNTIF(Cashflow!$G$5:$G$64,"&lt;0")&gt;=60,"not within 60",COUNTIF(Cashflow!$G$5:$G$64,"&lt;0")+1)</f>
        <v>22</v>
      </c>
      <c r="C15" s="20" t="n">
        <f aca="false">IF(COUNTIF(Cashflow!$M$5:$M$64,"&lt;0")&gt;=60,"not within 60",COUNTIF(Cashflow!$M$5:$M$64,"&lt;0")+1)</f>
        <v>28</v>
      </c>
      <c r="D15" s="20" t="str">
        <f aca="false">IF(COUNTIF(Cashflow!$S$5:$S$64,"&lt;0")&gt;=60,"not within 60",COUNTIF(Cashflow!$S$5:$S$64,"&lt;0")+1)</f>
        <v>not within 60</v>
      </c>
    </row>
    <row r="16" customFormat="false" ht="15" hidden="false" customHeight="true" outlineLevel="0" collapsed="false">
      <c r="A16" s="16" t="s">
        <v>29</v>
      </c>
      <c r="B16" s="21" t="n">
        <f aca="false">Cashflow!G52</f>
        <v>26400000</v>
      </c>
      <c r="C16" s="21" t="n">
        <f aca="false">Cashflow!M52</f>
        <v>11814000</v>
      </c>
      <c r="D16" s="21" t="n">
        <f aca="false">Cashflow!S52</f>
        <v>-6939428.57142856</v>
      </c>
    </row>
    <row r="17" customFormat="false" ht="15" hidden="false" customHeight="true" outlineLevel="0" collapsed="false">
      <c r="A17" s="16" t="s">
        <v>46</v>
      </c>
      <c r="B17" s="19" t="n">
        <f aca="false">IFERROR((Budget_8M!D13+Budget_8M!D14)/B7,"-")</f>
        <v>5764.70588235294</v>
      </c>
      <c r="C17" s="19" t="n">
        <f aca="false">IFERROR((Budget_8M!D13+Budget_8M!D14)/C7,"-")</f>
        <v>8235.29411764706</v>
      </c>
      <c r="D17" s="19" t="n">
        <f aca="false">IFERROR((Budget_8M!D13+Budget_8M!D14)/D7,"-")</f>
        <v>23161.7647058824</v>
      </c>
    </row>
    <row r="18" customFormat="false" ht="15" hidden="false" customHeight="true" outlineLevel="0" collapsed="false">
      <c r="A18" s="16" t="s">
        <v>47</v>
      </c>
      <c r="B18" s="19" t="n">
        <f aca="false">IFERROR(Inputs!$B$14*12/B8,"-")</f>
        <v>1931.10494818275</v>
      </c>
      <c r="C18" s="19" t="n">
        <f aca="false">IFERROR(Inputs!$B$14*12/C8,"-")</f>
        <v>2758.72135454678</v>
      </c>
      <c r="D18" s="19" t="n">
        <f aca="false">IFERROR(Inputs!$B$14*12/D8,"-")</f>
        <v>5542.98642533937</v>
      </c>
    </row>
    <row r="19" customFormat="false" ht="15" hidden="false" customHeight="true" outlineLevel="0" collapsed="false">
      <c r="A19" s="14"/>
      <c r="B19" s="14"/>
      <c r="C19" s="14"/>
      <c r="D19" s="14"/>
    </row>
    <row r="20" customFormat="false" ht="15" hidden="false" customHeight="true" outlineLevel="0" collapsed="false">
      <c r="A20" s="22" t="s">
        <v>48</v>
      </c>
      <c r="B20" s="14"/>
      <c r="C20" s="14"/>
      <c r="D20" s="14"/>
    </row>
    <row r="21" customFormat="false" ht="15" hidden="false" customHeight="true" outlineLevel="0" collapsed="false">
      <c r="A21" s="22" t="s">
        <v>49</v>
      </c>
      <c r="B21" s="14"/>
      <c r="C21" s="14"/>
      <c r="D2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130"/>
  </cols>
  <sheetData>
    <row r="1" customFormat="false" ht="17.25" hidden="false" customHeight="true" outlineLevel="0" collapsed="false">
      <c r="A1" s="23" t="s">
        <v>50</v>
      </c>
    </row>
    <row r="2" customFormat="false" ht="15" hidden="false" customHeight="true" outlineLevel="0" collapsed="false">
      <c r="A2" s="24" t="s">
        <v>51</v>
      </c>
    </row>
    <row r="3" customFormat="false" ht="15" hidden="false" customHeight="true" outlineLevel="0" collapsed="false">
      <c r="A3" s="24" t="s">
        <v>52</v>
      </c>
    </row>
    <row r="4" customFormat="false" ht="15" hidden="false" customHeight="true" outlineLevel="0" collapsed="false">
      <c r="A4" s="25" t="s">
        <v>53</v>
      </c>
    </row>
    <row r="5" customFormat="false" ht="26.25" hidden="false" customHeight="true" outlineLevel="0" collapsed="false">
      <c r="A5" s="26" t="s">
        <v>54</v>
      </c>
    </row>
    <row r="6" customFormat="false" ht="15" hidden="false" customHeight="true" outlineLevel="0" collapsed="false">
      <c r="A6" s="24" t="s">
        <v>55</v>
      </c>
    </row>
    <row r="7" customFormat="false" ht="15" hidden="false" customHeight="true" outlineLevel="0" collapsed="false">
      <c r="A7" s="24"/>
    </row>
    <row r="8" customFormat="false" ht="15" hidden="false" customHeight="true" outlineLevel="0" collapsed="false">
      <c r="A8" s="25" t="s">
        <v>56</v>
      </c>
    </row>
    <row r="9" customFormat="false" ht="15" hidden="false" customHeight="true" outlineLevel="0" collapsed="false">
      <c r="A9" s="24" t="s">
        <v>57</v>
      </c>
    </row>
    <row r="10" customFormat="false" ht="26.25" hidden="false" customHeight="true" outlineLevel="0" collapsed="false">
      <c r="A10" s="24" t="s">
        <v>58</v>
      </c>
    </row>
    <row r="11" customFormat="false" ht="26.25" hidden="false" customHeight="true" outlineLevel="0" collapsed="false">
      <c r="A11" s="24" t="s">
        <v>59</v>
      </c>
    </row>
    <row r="12" customFormat="false" ht="15" hidden="false" customHeight="true" outlineLevel="0" collapsed="false">
      <c r="A12" s="24" t="s">
        <v>60</v>
      </c>
    </row>
    <row r="13" customFormat="false" ht="15" hidden="false" customHeight="true" outlineLevel="0" collapsed="false">
      <c r="A13" s="24" t="s">
        <v>61</v>
      </c>
    </row>
    <row r="14" customFormat="false" ht="15" hidden="false" customHeight="true" outlineLevel="0" collapsed="false">
      <c r="A14" s="24" t="s">
        <v>62</v>
      </c>
    </row>
    <row r="15" customFormat="false" ht="15" hidden="false" customHeight="true" outlineLevel="0" collapsed="false">
      <c r="A15" s="24"/>
    </row>
    <row r="16" customFormat="false" ht="15" hidden="false" customHeight="true" outlineLevel="0" collapsed="false">
      <c r="A16" s="25" t="s">
        <v>63</v>
      </c>
    </row>
    <row r="17" customFormat="false" ht="15" hidden="false" customHeight="true" outlineLevel="0" collapsed="false">
      <c r="A17" s="24" t="s">
        <v>64</v>
      </c>
    </row>
    <row r="18" customFormat="false" ht="26.25" hidden="false" customHeight="true" outlineLevel="0" collapsed="false">
      <c r="A18" s="24" t="s">
        <v>65</v>
      </c>
    </row>
    <row r="19" customFormat="false" ht="26.25" hidden="false" customHeight="true" outlineLevel="0" collapsed="false">
      <c r="A19" s="24" t="s">
        <v>66</v>
      </c>
    </row>
    <row r="20" customFormat="false" ht="26.25" hidden="false" customHeight="true" outlineLevel="0" collapsed="false">
      <c r="A20" s="24" t="s">
        <v>67</v>
      </c>
    </row>
    <row r="21" customFormat="false" ht="15" hidden="false" customHeight="true" outlineLevel="0" collapsed="false">
      <c r="A21" s="24"/>
    </row>
    <row r="22" customFormat="false" ht="15" hidden="false" customHeight="true" outlineLevel="0" collapsed="false">
      <c r="A22" s="25" t="s">
        <v>68</v>
      </c>
    </row>
    <row r="23" customFormat="false" ht="15" hidden="false" customHeight="true" outlineLevel="0" collapsed="false">
      <c r="A23" s="24" t="s">
        <v>69</v>
      </c>
    </row>
    <row r="24" customFormat="false" ht="15" hidden="false" customHeight="true" outlineLevel="0" collapsed="false">
      <c r="A24" s="24" t="s">
        <v>70</v>
      </c>
    </row>
    <row r="25" customFormat="false" ht="26.25" hidden="false" customHeight="true" outlineLevel="0" collapsed="false">
      <c r="A25" s="24" t="s">
        <v>71</v>
      </c>
    </row>
    <row r="26" customFormat="false" ht="15" hidden="false" customHeight="true" outlineLevel="0" collapsed="false">
      <c r="A26" s="24" t="s">
        <v>72</v>
      </c>
    </row>
    <row r="27" customFormat="false" ht="15" hidden="false" customHeight="true" outlineLevel="0" collapsed="false">
      <c r="A27" s="24" t="s">
        <v>73</v>
      </c>
    </row>
    <row r="28" customFormat="false" ht="15" hidden="false" customHeight="true" outlineLevel="0" collapsed="false">
      <c r="A28" s="24" t="s">
        <v>74</v>
      </c>
    </row>
    <row r="29" customFormat="false" ht="15" hidden="false" customHeight="true" outlineLevel="0" collapsed="false">
      <c r="A29" s="24"/>
    </row>
    <row r="30" customFormat="false" ht="15" hidden="false" customHeight="true" outlineLevel="0" collapsed="false">
      <c r="A30" s="2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62"/>
    <col collapsed="false" customWidth="true" hidden="false" outlineLevel="0" max="3" min="2" style="12" width="16"/>
    <col collapsed="false" customWidth="true" hidden="false" outlineLevel="0" max="4" min="4" style="12" width="14"/>
    <col collapsed="false" customWidth="true" hidden="false" outlineLevel="0" max="5" min="5" style="12" width="70"/>
  </cols>
  <sheetData>
    <row r="1" customFormat="false" ht="17.25" hidden="false" customHeight="true" outlineLevel="0" collapsed="false">
      <c r="A1" s="13" t="s">
        <v>76</v>
      </c>
      <c r="B1" s="14"/>
      <c r="C1" s="14"/>
      <c r="D1" s="14"/>
      <c r="E1" s="14"/>
    </row>
    <row r="2" customFormat="false" ht="15" hidden="false" customHeight="true" outlineLevel="0" collapsed="false">
      <c r="A2" s="14"/>
      <c r="B2" s="14"/>
      <c r="C2" s="14"/>
      <c r="D2" s="14"/>
      <c r="E2" s="14"/>
    </row>
    <row r="3" customFormat="false" ht="15" hidden="false" customHeight="true" outlineLevel="0" collapsed="false">
      <c r="A3" s="15" t="s">
        <v>77</v>
      </c>
      <c r="B3" s="15" t="s">
        <v>78</v>
      </c>
      <c r="C3" s="15" t="s">
        <v>79</v>
      </c>
      <c r="D3" s="14"/>
      <c r="E3" s="14"/>
    </row>
    <row r="4" customFormat="false" ht="15" hidden="false" customHeight="true" outlineLevel="0" collapsed="false">
      <c r="A4" s="16" t="s">
        <v>80</v>
      </c>
      <c r="B4" s="28" t="n">
        <v>44000</v>
      </c>
      <c r="C4" s="22" t="s">
        <v>81</v>
      </c>
      <c r="D4" s="14"/>
      <c r="E4" s="14"/>
    </row>
    <row r="5" customFormat="false" ht="15" hidden="false" customHeight="true" outlineLevel="0" collapsed="false">
      <c r="A5" s="16" t="s">
        <v>82</v>
      </c>
      <c r="B5" s="29" t="n">
        <v>0.3</v>
      </c>
      <c r="C5" s="22" t="s">
        <v>83</v>
      </c>
      <c r="D5" s="14"/>
      <c r="E5" s="14"/>
    </row>
    <row r="6" customFormat="false" ht="15" hidden="false" customHeight="true" outlineLevel="0" collapsed="false">
      <c r="A6" s="16" t="s">
        <v>84</v>
      </c>
      <c r="B6" s="28" t="n">
        <v>3400</v>
      </c>
      <c r="C6" s="22" t="s">
        <v>85</v>
      </c>
      <c r="D6" s="14"/>
      <c r="E6" s="14"/>
    </row>
    <row r="7" customFormat="false" ht="15" hidden="false" customHeight="true" outlineLevel="0" collapsed="false">
      <c r="A7" s="16" t="s">
        <v>86</v>
      </c>
      <c r="B7" s="30" t="n">
        <v>0.04</v>
      </c>
      <c r="C7" s="22" t="s">
        <v>87</v>
      </c>
      <c r="D7" s="14"/>
      <c r="E7" s="14"/>
    </row>
    <row r="8" customFormat="false" ht="15" hidden="false" customHeight="true" outlineLevel="0" collapsed="false">
      <c r="A8" s="16" t="s">
        <v>88</v>
      </c>
      <c r="B8" s="30" t="n">
        <v>0.3</v>
      </c>
      <c r="C8" s="22" t="s">
        <v>89</v>
      </c>
      <c r="D8" s="14"/>
      <c r="E8" s="14"/>
    </row>
    <row r="9" customFormat="false" ht="15" hidden="false" customHeight="true" outlineLevel="0" collapsed="false">
      <c r="A9" s="16" t="s">
        <v>23</v>
      </c>
      <c r="B9" s="31" t="n">
        <v>4</v>
      </c>
      <c r="C9" s="22" t="s">
        <v>90</v>
      </c>
      <c r="D9" s="14"/>
      <c r="E9" s="14"/>
    </row>
    <row r="10" customFormat="false" ht="15" hidden="false" customHeight="true" outlineLevel="0" collapsed="false">
      <c r="A10" s="16" t="s">
        <v>91</v>
      </c>
      <c r="B10" s="31" t="n">
        <v>24</v>
      </c>
      <c r="C10" s="22" t="s">
        <v>92</v>
      </c>
      <c r="D10" s="14"/>
      <c r="E10" s="14"/>
    </row>
    <row r="11" customFormat="false" ht="15" hidden="false" customHeight="true" outlineLevel="0" collapsed="false">
      <c r="A11" s="16" t="s">
        <v>93</v>
      </c>
      <c r="B11" s="28" t="n">
        <v>25000</v>
      </c>
      <c r="C11" s="22" t="s">
        <v>94</v>
      </c>
      <c r="D11" s="14"/>
      <c r="E11" s="14"/>
    </row>
    <row r="12" customFormat="false" ht="15" hidden="false" customHeight="true" outlineLevel="0" collapsed="false">
      <c r="A12" s="16" t="s">
        <v>95</v>
      </c>
      <c r="B12" s="32" t="n">
        <v>120000</v>
      </c>
      <c r="C12" s="22" t="s">
        <v>96</v>
      </c>
      <c r="D12" s="14"/>
      <c r="E12" s="14"/>
    </row>
    <row r="13" customFormat="false" ht="15" hidden="false" customHeight="true" outlineLevel="0" collapsed="false">
      <c r="A13" s="16" t="s">
        <v>97</v>
      </c>
      <c r="B13" s="28" t="n">
        <v>100000</v>
      </c>
      <c r="C13" s="22" t="s">
        <v>98</v>
      </c>
      <c r="D13" s="14"/>
      <c r="E13" s="14"/>
    </row>
    <row r="14" customFormat="false" ht="15" hidden="false" customHeight="true" outlineLevel="0" collapsed="false">
      <c r="A14" s="16" t="s">
        <v>99</v>
      </c>
      <c r="B14" s="32" t="n">
        <v>150000</v>
      </c>
      <c r="C14" s="22" t="s">
        <v>100</v>
      </c>
      <c r="D14" s="14"/>
      <c r="E14" s="14"/>
    </row>
    <row r="15" customFormat="false" ht="15" hidden="false" customHeight="true" outlineLevel="0" collapsed="false">
      <c r="A15" s="14"/>
      <c r="B15" s="14"/>
      <c r="C15" s="14"/>
      <c r="D15" s="14"/>
      <c r="E15" s="14"/>
    </row>
    <row r="16" customFormat="false" ht="15" hidden="false" customHeight="true" outlineLevel="0" collapsed="false">
      <c r="A16" s="33" t="s">
        <v>101</v>
      </c>
      <c r="B16" s="14"/>
      <c r="C16" s="14"/>
      <c r="D16" s="14"/>
      <c r="E16" s="14"/>
    </row>
    <row r="17" customFormat="false" ht="15" hidden="false" customHeight="true" outlineLevel="0" collapsed="false">
      <c r="A17" s="16" t="s">
        <v>102</v>
      </c>
      <c r="B17" s="19" t="n">
        <f aca="false">B4*B5</f>
        <v>13200</v>
      </c>
      <c r="C17" s="14"/>
      <c r="D17" s="14"/>
      <c r="E17" s="14"/>
    </row>
    <row r="18" customFormat="false" ht="15" hidden="false" customHeight="true" outlineLevel="0" collapsed="false">
      <c r="A18" s="16" t="s">
        <v>103</v>
      </c>
      <c r="B18" s="19" t="n">
        <f aca="false">B6*(1-B7)</f>
        <v>3264</v>
      </c>
      <c r="C18" s="14"/>
      <c r="D18" s="14"/>
      <c r="E18" s="14"/>
    </row>
    <row r="19" customFormat="false" ht="15" hidden="false" customHeight="true" outlineLevel="0" collapsed="false">
      <c r="A19" s="16" t="s">
        <v>104</v>
      </c>
      <c r="B19" s="19" t="n">
        <f aca="false">B6*B7</f>
        <v>136</v>
      </c>
      <c r="C19" s="14"/>
      <c r="D19" s="14"/>
      <c r="E19" s="14"/>
    </row>
    <row r="20" customFormat="false" ht="15" hidden="false" customHeight="true" outlineLevel="0" collapsed="false">
      <c r="A20" s="16" t="s">
        <v>105</v>
      </c>
      <c r="B20" s="19" t="n">
        <f aca="false">B18/(1-B8)</f>
        <v>4662.85714285714</v>
      </c>
      <c r="C20" s="14"/>
      <c r="D20" s="14"/>
      <c r="E20" s="14"/>
    </row>
    <row r="21" customFormat="false" ht="15" hidden="false" customHeight="true" outlineLevel="0" collapsed="false">
      <c r="A21" s="16" t="s">
        <v>106</v>
      </c>
      <c r="B21" s="19" t="n">
        <f aca="false">B20*B8</f>
        <v>1398.85714285714</v>
      </c>
      <c r="C21" s="14"/>
      <c r="D21" s="14"/>
      <c r="E21" s="14"/>
    </row>
    <row r="22" customFormat="false" ht="15" hidden="false" customHeight="true" outlineLevel="0" collapsed="false">
      <c r="A22" s="16" t="s">
        <v>107</v>
      </c>
      <c r="B22" s="19" t="n">
        <f aca="false">B21-B19</f>
        <v>1262.85714285714</v>
      </c>
      <c r="C22" s="14"/>
      <c r="D22" s="14"/>
      <c r="E22" s="14"/>
    </row>
    <row r="23" customFormat="false" ht="15" hidden="false" customHeight="true" outlineLevel="0" collapsed="false">
      <c r="A23" s="16" t="s">
        <v>108</v>
      </c>
      <c r="B23" s="34" t="n">
        <f aca="false">B22/12</f>
        <v>105.238095238095</v>
      </c>
      <c r="C23" s="14"/>
      <c r="D23" s="14"/>
      <c r="E23" s="14"/>
    </row>
    <row r="24" customFormat="false" ht="15" hidden="false" customHeight="true" outlineLevel="0" collapsed="false">
      <c r="A24" s="16" t="s">
        <v>109</v>
      </c>
      <c r="B24" s="19" t="n">
        <f aca="false">SUM(B11:B14)</f>
        <v>395000</v>
      </c>
      <c r="C24" s="14"/>
      <c r="D24" s="14"/>
      <c r="E24" s="14"/>
    </row>
    <row r="25" customFormat="false" ht="15" hidden="false" customHeight="true" outlineLevel="0" collapsed="false">
      <c r="A25" s="16" t="s">
        <v>110</v>
      </c>
      <c r="B25" s="34" t="n">
        <f aca="false">B24/B17</f>
        <v>29.9242424242424</v>
      </c>
      <c r="C25" s="14"/>
      <c r="D25" s="14"/>
      <c r="E25" s="14"/>
    </row>
    <row r="26" customFormat="false" ht="15" hidden="false" customHeight="true" outlineLevel="0" collapsed="false">
      <c r="A26" s="14"/>
      <c r="B26" s="14"/>
      <c r="C26" s="14"/>
      <c r="D26" s="14"/>
      <c r="E26" s="14"/>
    </row>
    <row r="27" customFormat="false" ht="15" hidden="false" customHeight="true" outlineLevel="0" collapsed="false">
      <c r="A27" s="33" t="s">
        <v>111</v>
      </c>
      <c r="B27" s="14"/>
      <c r="C27" s="14"/>
      <c r="D27" s="14"/>
      <c r="E27" s="14"/>
    </row>
    <row r="28" customFormat="false" ht="39" hidden="false" customHeight="true" outlineLevel="0" collapsed="false">
      <c r="A28" s="15" t="s">
        <v>112</v>
      </c>
      <c r="B28" s="15" t="s">
        <v>113</v>
      </c>
      <c r="C28" s="15" t="s">
        <v>36</v>
      </c>
      <c r="D28" s="15" t="s">
        <v>114</v>
      </c>
      <c r="E28" s="15" t="s">
        <v>115</v>
      </c>
    </row>
    <row r="29" customFormat="false" ht="15" hidden="false" customHeight="true" outlineLevel="0" collapsed="false">
      <c r="A29" s="33" t="s">
        <v>33</v>
      </c>
      <c r="B29" s="29" t="n">
        <v>1</v>
      </c>
      <c r="C29" s="29" t="n">
        <v>0.3</v>
      </c>
      <c r="D29" s="35" t="n">
        <v>0</v>
      </c>
      <c r="E29" s="22" t="s">
        <v>116</v>
      </c>
    </row>
    <row r="30" customFormat="false" ht="15" hidden="false" customHeight="true" outlineLevel="0" collapsed="false">
      <c r="A30" s="33" t="s">
        <v>34</v>
      </c>
      <c r="B30" s="29" t="n">
        <v>0.7</v>
      </c>
      <c r="C30" s="29" t="n">
        <v>0.3</v>
      </c>
      <c r="D30" s="35" t="n">
        <v>0</v>
      </c>
      <c r="E30" s="22" t="s">
        <v>117</v>
      </c>
    </row>
    <row r="31" customFormat="false" ht="15" hidden="false" customHeight="true" outlineLevel="0" collapsed="false">
      <c r="A31" s="33" t="s">
        <v>35</v>
      </c>
      <c r="B31" s="29" t="n">
        <v>0.4</v>
      </c>
      <c r="C31" s="29" t="n">
        <v>0.25</v>
      </c>
      <c r="D31" s="35" t="n">
        <v>2</v>
      </c>
      <c r="E31" s="2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5"/>
    <col collapsed="false" customWidth="true" hidden="false" outlineLevel="0" max="2" min="2" style="12" width="52"/>
    <col collapsed="false" customWidth="true" hidden="false" outlineLevel="0" max="3" min="3" style="12" width="16"/>
    <col collapsed="false" customWidth="true" hidden="false" outlineLevel="0" max="4" min="4" style="12" width="14"/>
    <col collapsed="false" customWidth="true" hidden="false" outlineLevel="0" max="6" min="5" style="12" width="11"/>
    <col collapsed="false" customWidth="true" hidden="false" outlineLevel="0" max="7" min="7" style="12" width="80"/>
    <col collapsed="false" customWidth="true" hidden="false" outlineLevel="0" max="14" min="8" style="12" width="13"/>
  </cols>
  <sheetData>
    <row r="1" customFormat="false" ht="17.25" hidden="false" customHeight="true" outlineLevel="0" collapsed="false">
      <c r="A1" s="13" t="s">
        <v>119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15" hidden="false" customHeight="true" outlineLevel="0" collapsed="false">
      <c r="A2" s="22" t="s">
        <v>120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customFormat="false" ht="26.25" hidden="false" customHeight="true" outlineLevel="0" collapsed="false">
      <c r="A4" s="15" t="s">
        <v>121</v>
      </c>
      <c r="B4" s="15" t="s">
        <v>122</v>
      </c>
      <c r="C4" s="15" t="s">
        <v>123</v>
      </c>
      <c r="D4" s="15" t="s">
        <v>124</v>
      </c>
      <c r="E4" s="15" t="s">
        <v>125</v>
      </c>
      <c r="F4" s="15" t="s">
        <v>126</v>
      </c>
      <c r="G4" s="15" t="s">
        <v>127</v>
      </c>
      <c r="H4" s="14"/>
      <c r="I4" s="14"/>
      <c r="J4" s="14"/>
      <c r="K4" s="14"/>
      <c r="L4" s="14"/>
      <c r="M4" s="14"/>
      <c r="N4" s="14"/>
    </row>
    <row r="5" customFormat="false" ht="42" hidden="false" customHeight="true" outlineLevel="0" collapsed="false">
      <c r="A5" s="16" t="n">
        <v>1</v>
      </c>
      <c r="B5" s="16" t="s">
        <v>128</v>
      </c>
      <c r="C5" s="16" t="s">
        <v>129</v>
      </c>
      <c r="D5" s="28" t="n">
        <v>2100000</v>
      </c>
      <c r="E5" s="31" t="n">
        <v>1</v>
      </c>
      <c r="F5" s="31" t="n">
        <v>3</v>
      </c>
      <c r="G5" s="36" t="s">
        <v>130</v>
      </c>
      <c r="H5" s="14"/>
      <c r="I5" s="14"/>
      <c r="J5" s="14"/>
      <c r="K5" s="14"/>
      <c r="L5" s="14"/>
      <c r="M5" s="14"/>
      <c r="N5" s="14"/>
    </row>
    <row r="6" customFormat="false" ht="42" hidden="false" customHeight="true" outlineLevel="0" collapsed="false">
      <c r="A6" s="16" t="n">
        <v>2</v>
      </c>
      <c r="B6" s="16" t="s">
        <v>131</v>
      </c>
      <c r="C6" s="16" t="s">
        <v>129</v>
      </c>
      <c r="D6" s="28" t="n">
        <v>400000</v>
      </c>
      <c r="E6" s="31" t="n">
        <v>1</v>
      </c>
      <c r="F6" s="31" t="n">
        <v>2</v>
      </c>
      <c r="G6" s="36" t="s">
        <v>132</v>
      </c>
      <c r="H6" s="14"/>
      <c r="I6" s="14"/>
      <c r="J6" s="14"/>
      <c r="K6" s="14"/>
      <c r="L6" s="14"/>
      <c r="M6" s="14"/>
      <c r="N6" s="14"/>
    </row>
    <row r="7" customFormat="false" ht="42" hidden="false" customHeight="true" outlineLevel="0" collapsed="false">
      <c r="A7" s="16" t="n">
        <v>3</v>
      </c>
      <c r="B7" s="16" t="s">
        <v>133</v>
      </c>
      <c r="C7" s="16" t="s">
        <v>129</v>
      </c>
      <c r="D7" s="28" t="n">
        <v>600000</v>
      </c>
      <c r="E7" s="31" t="n">
        <v>2</v>
      </c>
      <c r="F7" s="31" t="n">
        <v>3</v>
      </c>
      <c r="G7" s="36" t="s">
        <v>134</v>
      </c>
      <c r="H7" s="14"/>
      <c r="I7" s="14"/>
      <c r="J7" s="14"/>
      <c r="K7" s="14"/>
      <c r="L7" s="14"/>
      <c r="M7" s="14"/>
      <c r="N7" s="14"/>
    </row>
    <row r="8" customFormat="false" ht="42" hidden="false" customHeight="true" outlineLevel="0" collapsed="false">
      <c r="A8" s="16" t="n">
        <v>4</v>
      </c>
      <c r="B8" s="16" t="s">
        <v>135</v>
      </c>
      <c r="C8" s="16" t="s">
        <v>129</v>
      </c>
      <c r="D8" s="28" t="n">
        <v>450000</v>
      </c>
      <c r="E8" s="31" t="n">
        <v>1</v>
      </c>
      <c r="F8" s="31" t="n">
        <v>3</v>
      </c>
      <c r="G8" s="36" t="s">
        <v>136</v>
      </c>
      <c r="H8" s="14"/>
      <c r="I8" s="14"/>
      <c r="J8" s="14"/>
      <c r="K8" s="14"/>
      <c r="L8" s="14"/>
      <c r="M8" s="14"/>
      <c r="N8" s="14"/>
    </row>
    <row r="9" customFormat="false" ht="42" hidden="false" customHeight="true" outlineLevel="0" collapsed="false">
      <c r="A9" s="16" t="n">
        <v>5</v>
      </c>
      <c r="B9" s="16" t="s">
        <v>137</v>
      </c>
      <c r="C9" s="16" t="s">
        <v>129</v>
      </c>
      <c r="D9" s="28" t="n">
        <v>150000</v>
      </c>
      <c r="E9" s="31" t="n">
        <v>2</v>
      </c>
      <c r="F9" s="31" t="n">
        <v>3</v>
      </c>
      <c r="G9" s="36" t="s">
        <v>138</v>
      </c>
      <c r="H9" s="14"/>
      <c r="I9" s="14"/>
      <c r="J9" s="14"/>
      <c r="K9" s="14"/>
      <c r="L9" s="14"/>
      <c r="M9" s="14"/>
      <c r="N9" s="14"/>
    </row>
    <row r="10" customFormat="false" ht="42" hidden="false" customHeight="true" outlineLevel="0" collapsed="false">
      <c r="A10" s="16" t="n">
        <v>6</v>
      </c>
      <c r="B10" s="16" t="s">
        <v>139</v>
      </c>
      <c r="C10" s="16" t="s">
        <v>129</v>
      </c>
      <c r="D10" s="28" t="n">
        <v>500000</v>
      </c>
      <c r="E10" s="31" t="n">
        <v>2</v>
      </c>
      <c r="F10" s="31" t="n">
        <v>3</v>
      </c>
      <c r="G10" s="36" t="s">
        <v>140</v>
      </c>
      <c r="H10" s="14"/>
      <c r="I10" s="14"/>
      <c r="J10" s="14"/>
      <c r="K10" s="14"/>
      <c r="L10" s="14"/>
      <c r="M10" s="14"/>
      <c r="N10" s="14"/>
    </row>
    <row r="11" customFormat="false" ht="42" hidden="false" customHeight="true" outlineLevel="0" collapsed="false">
      <c r="A11" s="16" t="n">
        <v>7</v>
      </c>
      <c r="B11" s="16" t="s">
        <v>141</v>
      </c>
      <c r="C11" s="16" t="s">
        <v>129</v>
      </c>
      <c r="D11" s="28" t="n">
        <v>250000</v>
      </c>
      <c r="E11" s="31" t="n">
        <v>3</v>
      </c>
      <c r="F11" s="31" t="n">
        <v>3</v>
      </c>
      <c r="G11" s="36" t="s">
        <v>142</v>
      </c>
      <c r="H11" s="14"/>
      <c r="I11" s="14"/>
      <c r="J11" s="14"/>
      <c r="K11" s="14"/>
      <c r="L11" s="14"/>
      <c r="M11" s="14"/>
      <c r="N11" s="14"/>
    </row>
    <row r="12" customFormat="false" ht="42" hidden="false" customHeight="true" outlineLevel="0" collapsed="false">
      <c r="A12" s="16" t="n">
        <v>8</v>
      </c>
      <c r="B12" s="16" t="s">
        <v>143</v>
      </c>
      <c r="C12" s="16" t="s">
        <v>144</v>
      </c>
      <c r="D12" s="28" t="n">
        <v>250000</v>
      </c>
      <c r="E12" s="31" t="n">
        <v>1</v>
      </c>
      <c r="F12" s="31" t="n">
        <v>3</v>
      </c>
      <c r="G12" s="36" t="s">
        <v>145</v>
      </c>
      <c r="H12" s="14"/>
      <c r="I12" s="14"/>
      <c r="J12" s="14"/>
      <c r="K12" s="14"/>
      <c r="L12" s="14"/>
      <c r="M12" s="14"/>
      <c r="N12" s="14"/>
    </row>
    <row r="13" customFormat="false" ht="42" hidden="false" customHeight="true" outlineLevel="0" collapsed="false">
      <c r="A13" s="16" t="n">
        <v>9</v>
      </c>
      <c r="B13" s="16" t="s">
        <v>146</v>
      </c>
      <c r="C13" s="16" t="s">
        <v>147</v>
      </c>
      <c r="D13" s="28" t="n">
        <v>1200000</v>
      </c>
      <c r="E13" s="31" t="n">
        <v>4</v>
      </c>
      <c r="F13" s="31" t="n">
        <v>12</v>
      </c>
      <c r="G13" s="36" t="s">
        <v>148</v>
      </c>
      <c r="H13" s="14"/>
      <c r="I13" s="14"/>
      <c r="J13" s="14"/>
      <c r="K13" s="14"/>
      <c r="L13" s="14"/>
      <c r="M13" s="14"/>
      <c r="N13" s="14"/>
    </row>
    <row r="14" customFormat="false" ht="42" hidden="false" customHeight="true" outlineLevel="0" collapsed="false">
      <c r="A14" s="16" t="n">
        <v>10</v>
      </c>
      <c r="B14" s="16" t="s">
        <v>149</v>
      </c>
      <c r="C14" s="16" t="s">
        <v>147</v>
      </c>
      <c r="D14" s="28" t="n">
        <v>100000</v>
      </c>
      <c r="E14" s="31" t="n">
        <v>4</v>
      </c>
      <c r="F14" s="31" t="n">
        <v>4</v>
      </c>
      <c r="G14" s="36" t="s">
        <v>150</v>
      </c>
      <c r="H14" s="14"/>
      <c r="I14" s="14"/>
      <c r="J14" s="14"/>
      <c r="K14" s="14"/>
      <c r="L14" s="14"/>
      <c r="M14" s="14"/>
      <c r="N14" s="14"/>
    </row>
    <row r="15" customFormat="false" ht="42" hidden="false" customHeight="true" outlineLevel="0" collapsed="false">
      <c r="A15" s="16" t="n">
        <v>11</v>
      </c>
      <c r="B15" s="16" t="s">
        <v>151</v>
      </c>
      <c r="C15" s="16" t="s">
        <v>152</v>
      </c>
      <c r="D15" s="28" t="n">
        <v>300000</v>
      </c>
      <c r="E15" s="31" t="n">
        <v>1</v>
      </c>
      <c r="F15" s="31" t="n">
        <v>12</v>
      </c>
      <c r="G15" s="36" t="s">
        <v>153</v>
      </c>
      <c r="H15" s="14"/>
      <c r="I15" s="14"/>
      <c r="J15" s="14"/>
      <c r="K15" s="14"/>
      <c r="L15" s="14"/>
      <c r="M15" s="14"/>
      <c r="N15" s="14"/>
    </row>
    <row r="16" customFormat="false" ht="42" hidden="false" customHeight="true" outlineLevel="0" collapsed="false">
      <c r="A16" s="16" t="n">
        <v>12</v>
      </c>
      <c r="B16" s="16" t="s">
        <v>154</v>
      </c>
      <c r="C16" s="16" t="s">
        <v>152</v>
      </c>
      <c r="D16" s="28" t="n">
        <v>1080000</v>
      </c>
      <c r="E16" s="31" t="n">
        <v>4</v>
      </c>
      <c r="F16" s="31" t="n">
        <v>12</v>
      </c>
      <c r="G16" s="36" t="s">
        <v>155</v>
      </c>
      <c r="H16" s="14"/>
      <c r="I16" s="14"/>
      <c r="J16" s="14"/>
      <c r="K16" s="14"/>
      <c r="L16" s="14"/>
      <c r="M16" s="14"/>
      <c r="N16" s="14"/>
    </row>
    <row r="17" customFormat="false" ht="42" hidden="false" customHeight="true" outlineLevel="0" collapsed="false">
      <c r="A17" s="16" t="n">
        <v>13</v>
      </c>
      <c r="B17" s="16" t="s">
        <v>156</v>
      </c>
      <c r="C17" s="16" t="s">
        <v>157</v>
      </c>
      <c r="D17" s="28" t="n">
        <v>620000</v>
      </c>
      <c r="E17" s="31" t="n">
        <v>3</v>
      </c>
      <c r="F17" s="31" t="n">
        <v>12</v>
      </c>
      <c r="G17" s="36" t="s">
        <v>158</v>
      </c>
      <c r="H17" s="14"/>
      <c r="I17" s="14"/>
      <c r="J17" s="14"/>
      <c r="K17" s="14"/>
      <c r="L17" s="14"/>
      <c r="M17" s="14"/>
      <c r="N17" s="14"/>
    </row>
    <row r="18" customFormat="false" ht="15" hidden="false" customHeight="true" outlineLevel="0" collapsed="false">
      <c r="A18" s="14"/>
      <c r="B18" s="33" t="s">
        <v>159</v>
      </c>
      <c r="C18" s="14"/>
      <c r="D18" s="37" t="n">
        <f aca="false">SUM(D5:D17)</f>
        <v>8000000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15" hidden="false" customHeight="true" outlineLevel="0" collapsed="false">
      <c r="A19" s="14"/>
      <c r="B19" s="16" t="s">
        <v>160</v>
      </c>
      <c r="C19" s="14"/>
      <c r="D19" s="33" t="str">
        <f aca="false">IF(D18=8000000,"OK","NOT 8M")</f>
        <v>OK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customFormat="false" ht="15" hidden="false" customHeight="true" outlineLevel="0" collapsed="false">
      <c r="A20" s="14"/>
      <c r="B20" s="14" t="s">
        <v>161</v>
      </c>
      <c r="C20" s="14"/>
      <c r="D20" s="14" t="n">
        <f aca="false">20000000-D18</f>
        <v>12000000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customFormat="false" ht="15" hidden="false" customHeight="true" outlineLevel="0" collapsed="false">
      <c r="A21" s="14"/>
      <c r="B21" s="33" t="s">
        <v>162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Format="false" ht="15" hidden="false" customHeight="true" outlineLevel="0" collapsed="false">
      <c r="A22" s="14"/>
      <c r="B22" s="16" t="s">
        <v>129</v>
      </c>
      <c r="C22" s="14"/>
      <c r="D22" s="38" t="n">
        <f aca="false">SUMIF($C$5:$C$17,B22,$D$5:$D$17)</f>
        <v>4450000</v>
      </c>
      <c r="E22" s="39" t="n">
        <f aca="false">D22/$D$18</f>
        <v>0.55625</v>
      </c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5" hidden="false" customHeight="true" outlineLevel="0" collapsed="false">
      <c r="A23" s="14"/>
      <c r="B23" s="16" t="s">
        <v>144</v>
      </c>
      <c r="C23" s="14"/>
      <c r="D23" s="38" t="n">
        <f aca="false">SUMIF($C$5:$C$17,B23,$D$5:$D$17)</f>
        <v>250000</v>
      </c>
      <c r="E23" s="39" t="n">
        <f aca="false">D23/$D$18</f>
        <v>0.03125</v>
      </c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15" hidden="false" customHeight="true" outlineLevel="0" collapsed="false">
      <c r="A24" s="14"/>
      <c r="B24" s="16" t="s">
        <v>147</v>
      </c>
      <c r="C24" s="14"/>
      <c r="D24" s="38" t="n">
        <f aca="false">SUMIF($C$5:$C$17,B24,$D$5:$D$17)</f>
        <v>1300000</v>
      </c>
      <c r="E24" s="39" t="n">
        <f aca="false">D24/$D$18</f>
        <v>0.1625</v>
      </c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15" hidden="false" customHeight="true" outlineLevel="0" collapsed="false">
      <c r="A25" s="14"/>
      <c r="B25" s="16" t="s">
        <v>152</v>
      </c>
      <c r="C25" s="14"/>
      <c r="D25" s="38" t="n">
        <f aca="false">SUMIF($C$5:$C$17,B25,$D$5:$D$17)</f>
        <v>1380000</v>
      </c>
      <c r="E25" s="39" t="n">
        <f aca="false">D25/$D$18</f>
        <v>0.1725</v>
      </c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15" hidden="false" customHeight="true" outlineLevel="0" collapsed="false">
      <c r="A26" s="14"/>
      <c r="B26" s="16" t="s">
        <v>157</v>
      </c>
      <c r="C26" s="14"/>
      <c r="D26" s="38" t="n">
        <f aca="false">SUMIF($C$5:$C$17,B26,$D$5:$D$17)</f>
        <v>620000</v>
      </c>
      <c r="E26" s="39" t="n">
        <f aca="false">D26/$D$18</f>
        <v>0.0775</v>
      </c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customFormat="false" ht="15" hidden="false" customHeight="true" outlineLevel="0" collapsed="false">
      <c r="A29" s="33" t="s">
        <v>163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15" hidden="false" customHeight="true" outlineLevel="0" collapsed="false">
      <c r="A30" s="15" t="s">
        <v>121</v>
      </c>
      <c r="B30" s="15" t="s">
        <v>122</v>
      </c>
      <c r="C30" s="15" t="s">
        <v>164</v>
      </c>
      <c r="D30" s="15" t="s">
        <v>165</v>
      </c>
      <c r="E30" s="15" t="s">
        <v>166</v>
      </c>
      <c r="F30" s="15" t="s">
        <v>167</v>
      </c>
      <c r="G30" s="15" t="s">
        <v>168</v>
      </c>
      <c r="H30" s="15" t="s">
        <v>169</v>
      </c>
      <c r="I30" s="15" t="s">
        <v>170</v>
      </c>
      <c r="J30" s="15" t="s">
        <v>171</v>
      </c>
      <c r="K30" s="15" t="s">
        <v>172</v>
      </c>
      <c r="L30" s="15" t="s">
        <v>173</v>
      </c>
      <c r="M30" s="15" t="s">
        <v>174</v>
      </c>
      <c r="N30" s="15" t="s">
        <v>175</v>
      </c>
    </row>
    <row r="31" customFormat="false" ht="15" hidden="false" customHeight="true" outlineLevel="0" collapsed="false">
      <c r="A31" s="16" t="n">
        <v>1</v>
      </c>
      <c r="B31" s="16" t="str">
        <f aca="false">B5</f>
        <v>Senior full-stack developer (contract)</v>
      </c>
      <c r="C31" s="40" t="n">
        <f aca="false">IF(AND(1&gt;=$E$5,1&lt;=$F$5),$D$5/($F$5-$E$5+1),0)</f>
        <v>700000</v>
      </c>
      <c r="D31" s="40" t="n">
        <f aca="false">IF(AND(2&gt;=$E$5,2&lt;=$F$5),$D$5/($F$5-$E$5+1),0)</f>
        <v>700000</v>
      </c>
      <c r="E31" s="40" t="n">
        <f aca="false">IF(AND(3&gt;=$E$5,3&lt;=$F$5),$D$5/($F$5-$E$5+1),0)</f>
        <v>700000</v>
      </c>
      <c r="F31" s="40" t="n">
        <f aca="false">IF(AND(4&gt;=$E$5,4&lt;=$F$5),$D$5/($F$5-$E$5+1),0)</f>
        <v>0</v>
      </c>
      <c r="G31" s="40" t="n">
        <f aca="false">IF(AND(5&gt;=$E$5,5&lt;=$F$5),$D$5/($F$5-$E$5+1),0)</f>
        <v>0</v>
      </c>
      <c r="H31" s="40" t="n">
        <f aca="false">IF(AND(6&gt;=$E$5,6&lt;=$F$5),$D$5/($F$5-$E$5+1),0)</f>
        <v>0</v>
      </c>
      <c r="I31" s="40" t="n">
        <f aca="false">IF(AND(7&gt;=$E$5,7&lt;=$F$5),$D$5/($F$5-$E$5+1),0)</f>
        <v>0</v>
      </c>
      <c r="J31" s="40" t="n">
        <f aca="false">IF(AND(8&gt;=$E$5,8&lt;=$F$5),$D$5/($F$5-$E$5+1),0)</f>
        <v>0</v>
      </c>
      <c r="K31" s="40" t="n">
        <f aca="false">IF(AND(9&gt;=$E$5,9&lt;=$F$5),$D$5/($F$5-$E$5+1),0)</f>
        <v>0</v>
      </c>
      <c r="L31" s="40" t="n">
        <f aca="false">IF(AND(10&gt;=$E$5,10&lt;=$F$5),$D$5/($F$5-$E$5+1),0)</f>
        <v>0</v>
      </c>
      <c r="M31" s="40" t="n">
        <f aca="false">IF(AND(11&gt;=$E$5,11&lt;=$F$5),$D$5/($F$5-$E$5+1),0)</f>
        <v>0</v>
      </c>
      <c r="N31" s="40" t="n">
        <f aca="false">IF(AND(12&gt;=$E$5,12&lt;=$F$5),$D$5/($F$5-$E$5+1),0)</f>
        <v>0</v>
      </c>
    </row>
    <row r="32" customFormat="false" ht="15" hidden="false" customHeight="true" outlineLevel="0" collapsed="false">
      <c r="A32" s="16" t="n">
        <v>2</v>
      </c>
      <c r="B32" s="16" t="str">
        <f aca="false">B6</f>
        <v>UX/UI design finishing (freelance)</v>
      </c>
      <c r="C32" s="40" t="n">
        <f aca="false">IF(AND(1&gt;=$E$6,1&lt;=$F$6),$D$6/($F$6-$E$6+1),0)</f>
        <v>200000</v>
      </c>
      <c r="D32" s="40" t="n">
        <f aca="false">IF(AND(2&gt;=$E$6,2&lt;=$F$6),$D$6/($F$6-$E$6+1),0)</f>
        <v>200000</v>
      </c>
      <c r="E32" s="40" t="n">
        <f aca="false">IF(AND(3&gt;=$E$6,3&lt;=$F$6),$D$6/($F$6-$E$6+1),0)</f>
        <v>0</v>
      </c>
      <c r="F32" s="40" t="n">
        <f aca="false">IF(AND(4&gt;=$E$6,4&lt;=$F$6),$D$6/($F$6-$E$6+1),0)</f>
        <v>0</v>
      </c>
      <c r="G32" s="40" t="n">
        <f aca="false">IF(AND(5&gt;=$E$6,5&lt;=$F$6),$D$6/($F$6-$E$6+1),0)</f>
        <v>0</v>
      </c>
      <c r="H32" s="40" t="n">
        <f aca="false">IF(AND(6&gt;=$E$6,6&lt;=$F$6),$D$6/($F$6-$E$6+1),0)</f>
        <v>0</v>
      </c>
      <c r="I32" s="40" t="n">
        <f aca="false">IF(AND(7&gt;=$E$6,7&lt;=$F$6),$D$6/($F$6-$E$6+1),0)</f>
        <v>0</v>
      </c>
      <c r="J32" s="40" t="n">
        <f aca="false">IF(AND(8&gt;=$E$6,8&lt;=$F$6),$D$6/($F$6-$E$6+1),0)</f>
        <v>0</v>
      </c>
      <c r="K32" s="40" t="n">
        <f aca="false">IF(AND(9&gt;=$E$6,9&lt;=$F$6),$D$6/($F$6-$E$6+1),0)</f>
        <v>0</v>
      </c>
      <c r="L32" s="40" t="n">
        <f aca="false">IF(AND(10&gt;=$E$6,10&lt;=$F$6),$D$6/($F$6-$E$6+1),0)</f>
        <v>0</v>
      </c>
      <c r="M32" s="40" t="n">
        <f aca="false">IF(AND(11&gt;=$E$6,11&lt;=$F$6),$D$6/($F$6-$E$6+1),0)</f>
        <v>0</v>
      </c>
      <c r="N32" s="40" t="n">
        <f aca="false">IF(AND(12&gt;=$E$6,12&lt;=$F$6),$D$6/($F$6-$E$6+1),0)</f>
        <v>0</v>
      </c>
    </row>
    <row r="33" customFormat="false" ht="15" hidden="false" customHeight="true" outlineLevel="0" collapsed="false">
      <c r="A33" s="16" t="n">
        <v>3</v>
      </c>
      <c r="B33" s="16" t="str">
        <f aca="false">B7</f>
        <v>Localization ZH + EN, native proofreading</v>
      </c>
      <c r="C33" s="40" t="n">
        <f aca="false">IF(AND(1&gt;=$E$7,1&lt;=$F$7),$D$7/($F$7-$E$7+1),0)</f>
        <v>0</v>
      </c>
      <c r="D33" s="40" t="n">
        <f aca="false">IF(AND(2&gt;=$E$7,2&lt;=$F$7),$D$7/($F$7-$E$7+1),0)</f>
        <v>300000</v>
      </c>
      <c r="E33" s="40" t="n">
        <f aca="false">IF(AND(3&gt;=$E$7,3&lt;=$F$7),$D$7/($F$7-$E$7+1),0)</f>
        <v>300000</v>
      </c>
      <c r="F33" s="40" t="n">
        <f aca="false">IF(AND(4&gt;=$E$7,4&lt;=$F$7),$D$7/($F$7-$E$7+1),0)</f>
        <v>0</v>
      </c>
      <c r="G33" s="40" t="n">
        <f aca="false">IF(AND(5&gt;=$E$7,5&lt;=$F$7),$D$7/($F$7-$E$7+1),0)</f>
        <v>0</v>
      </c>
      <c r="H33" s="40" t="n">
        <f aca="false">IF(AND(6&gt;=$E$7,6&lt;=$F$7),$D$7/($F$7-$E$7+1),0)</f>
        <v>0</v>
      </c>
      <c r="I33" s="40" t="n">
        <f aca="false">IF(AND(7&gt;=$E$7,7&lt;=$F$7),$D$7/($F$7-$E$7+1),0)</f>
        <v>0</v>
      </c>
      <c r="J33" s="40" t="n">
        <f aca="false">IF(AND(8&gt;=$E$7,8&lt;=$F$7),$D$7/($F$7-$E$7+1),0)</f>
        <v>0</v>
      </c>
      <c r="K33" s="40" t="n">
        <f aca="false">IF(AND(9&gt;=$E$7,9&lt;=$F$7),$D$7/($F$7-$E$7+1),0)</f>
        <v>0</v>
      </c>
      <c r="L33" s="40" t="n">
        <f aca="false">IF(AND(10&gt;=$E$7,10&lt;=$F$7),$D$7/($F$7-$E$7+1),0)</f>
        <v>0</v>
      </c>
      <c r="M33" s="40" t="n">
        <f aca="false">IF(AND(11&gt;=$E$7,11&lt;=$F$7),$D$7/($F$7-$E$7+1),0)</f>
        <v>0</v>
      </c>
      <c r="N33" s="40" t="n">
        <f aca="false">IF(AND(12&gt;=$E$7,12&lt;=$F$7),$D$7/($F$7-$E$7+1),0)</f>
        <v>0</v>
      </c>
    </row>
    <row r="34" customFormat="false" ht="15" hidden="false" customHeight="true" outlineLevel="0" collapsed="false">
      <c r="A34" s="16" t="n">
        <v>4</v>
      </c>
      <c r="B34" s="16" t="str">
        <f aca="false">B8</f>
        <v>Legal: offer, refund rules, privacy, PD consent</v>
      </c>
      <c r="C34" s="40" t="n">
        <f aca="false">IF(AND(1&gt;=$E$8,1&lt;=$F$8),$D$8/($F$8-$E$8+1),0)</f>
        <v>150000</v>
      </c>
      <c r="D34" s="40" t="n">
        <f aca="false">IF(AND(2&gt;=$E$8,2&lt;=$F$8),$D$8/($F$8-$E$8+1),0)</f>
        <v>150000</v>
      </c>
      <c r="E34" s="40" t="n">
        <f aca="false">IF(AND(3&gt;=$E$8,3&lt;=$F$8),$D$8/($F$8-$E$8+1),0)</f>
        <v>150000</v>
      </c>
      <c r="F34" s="40" t="n">
        <f aca="false">IF(AND(4&gt;=$E$8,4&lt;=$F$8),$D$8/($F$8-$E$8+1),0)</f>
        <v>0</v>
      </c>
      <c r="G34" s="40" t="n">
        <f aca="false">IF(AND(5&gt;=$E$8,5&lt;=$F$8),$D$8/($F$8-$E$8+1),0)</f>
        <v>0</v>
      </c>
      <c r="H34" s="40" t="n">
        <f aca="false">IF(AND(6&gt;=$E$8,6&lt;=$F$8),$D$8/($F$8-$E$8+1),0)</f>
        <v>0</v>
      </c>
      <c r="I34" s="40" t="n">
        <f aca="false">IF(AND(7&gt;=$E$8,7&lt;=$F$8),$D$8/($F$8-$E$8+1),0)</f>
        <v>0</v>
      </c>
      <c r="J34" s="40" t="n">
        <f aca="false">IF(AND(8&gt;=$E$8,8&lt;=$F$8),$D$8/($F$8-$E$8+1),0)</f>
        <v>0</v>
      </c>
      <c r="K34" s="40" t="n">
        <f aca="false">IF(AND(9&gt;=$E$8,9&lt;=$F$8),$D$8/($F$8-$E$8+1),0)</f>
        <v>0</v>
      </c>
      <c r="L34" s="40" t="n">
        <f aca="false">IF(AND(10&gt;=$E$8,10&lt;=$F$8),$D$8/($F$8-$E$8+1),0)</f>
        <v>0</v>
      </c>
      <c r="M34" s="40" t="n">
        <f aca="false">IF(AND(11&gt;=$E$8,11&lt;=$F$8),$D$8/($F$8-$E$8+1),0)</f>
        <v>0</v>
      </c>
      <c r="N34" s="40" t="n">
        <f aca="false">IF(AND(12&gt;=$E$8,12&lt;=$F$8),$D$8/($F$8-$E$8+1),0)</f>
        <v>0</v>
      </c>
    </row>
    <row r="35" customFormat="false" ht="15" hidden="false" customHeight="true" outlineLevel="0" collapsed="false">
      <c r="A35" s="16" t="n">
        <v>5</v>
      </c>
      <c r="B35" s="16" t="str">
        <f aca="false">B9</f>
        <v>Payment provider onboarding + real test payments</v>
      </c>
      <c r="C35" s="40" t="n">
        <f aca="false">IF(AND(1&gt;=$E$9,1&lt;=$F$9),$D$9/($F$9-$E$9+1),0)</f>
        <v>0</v>
      </c>
      <c r="D35" s="40" t="n">
        <f aca="false">IF(AND(2&gt;=$E$9,2&lt;=$F$9),$D$9/($F$9-$E$9+1),0)</f>
        <v>75000</v>
      </c>
      <c r="E35" s="40" t="n">
        <f aca="false">IF(AND(3&gt;=$E$9,3&lt;=$F$9),$D$9/($F$9-$E$9+1),0)</f>
        <v>75000</v>
      </c>
      <c r="F35" s="40" t="n">
        <f aca="false">IF(AND(4&gt;=$E$9,4&lt;=$F$9),$D$9/($F$9-$E$9+1),0)</f>
        <v>0</v>
      </c>
      <c r="G35" s="40" t="n">
        <f aca="false">IF(AND(5&gt;=$E$9,5&lt;=$F$9),$D$9/($F$9-$E$9+1),0)</f>
        <v>0</v>
      </c>
      <c r="H35" s="40" t="n">
        <f aca="false">IF(AND(6&gt;=$E$9,6&lt;=$F$9),$D$9/($F$9-$E$9+1),0)</f>
        <v>0</v>
      </c>
      <c r="I35" s="40" t="n">
        <f aca="false">IF(AND(7&gt;=$E$9,7&lt;=$F$9),$D$9/($F$9-$E$9+1),0)</f>
        <v>0</v>
      </c>
      <c r="J35" s="40" t="n">
        <f aca="false">IF(AND(8&gt;=$E$9,8&lt;=$F$9),$D$9/($F$9-$E$9+1),0)</f>
        <v>0</v>
      </c>
      <c r="K35" s="40" t="n">
        <f aca="false">IF(AND(9&gt;=$E$9,9&lt;=$F$9),$D$9/($F$9-$E$9+1),0)</f>
        <v>0</v>
      </c>
      <c r="L35" s="40" t="n">
        <f aca="false">IF(AND(10&gt;=$E$9,10&lt;=$F$9),$D$9/($F$9-$E$9+1),0)</f>
        <v>0</v>
      </c>
      <c r="M35" s="40" t="n">
        <f aca="false">IF(AND(11&gt;=$E$9,11&lt;=$F$9),$D$9/($F$9-$E$9+1),0)</f>
        <v>0</v>
      </c>
      <c r="N35" s="40" t="n">
        <f aca="false">IF(AND(12&gt;=$E$9,12&lt;=$F$9),$D$9/($F$9-$E$9+1),0)</f>
        <v>0</v>
      </c>
    </row>
    <row r="36" customFormat="false" ht="15" hidden="false" customHeight="true" outlineLevel="0" collapsed="false">
      <c r="A36" s="16" t="n">
        <v>6</v>
      </c>
      <c r="B36" s="16" t="str">
        <f aca="false">B10</f>
        <v>Guide videos + tour photos (4 guides, 4 tours)</v>
      </c>
      <c r="C36" s="40" t="n">
        <f aca="false">IF(AND(1&gt;=$E$10,1&lt;=$F$10),$D$10/($F$10-$E$10+1),0)</f>
        <v>0</v>
      </c>
      <c r="D36" s="40" t="n">
        <f aca="false">IF(AND(2&gt;=$E$10,2&lt;=$F$10),$D$10/($F$10-$E$10+1),0)</f>
        <v>250000</v>
      </c>
      <c r="E36" s="40" t="n">
        <f aca="false">IF(AND(3&gt;=$E$10,3&lt;=$F$10),$D$10/($F$10-$E$10+1),0)</f>
        <v>250000</v>
      </c>
      <c r="F36" s="40" t="n">
        <f aca="false">IF(AND(4&gt;=$E$10,4&lt;=$F$10),$D$10/($F$10-$E$10+1),0)</f>
        <v>0</v>
      </c>
      <c r="G36" s="40" t="n">
        <f aca="false">IF(AND(5&gt;=$E$10,5&lt;=$F$10),$D$10/($F$10-$E$10+1),0)</f>
        <v>0</v>
      </c>
      <c r="H36" s="40" t="n">
        <f aca="false">IF(AND(6&gt;=$E$10,6&lt;=$F$10),$D$10/($F$10-$E$10+1),0)</f>
        <v>0</v>
      </c>
      <c r="I36" s="40" t="n">
        <f aca="false">IF(AND(7&gt;=$E$10,7&lt;=$F$10),$D$10/($F$10-$E$10+1),0)</f>
        <v>0</v>
      </c>
      <c r="J36" s="40" t="n">
        <f aca="false">IF(AND(8&gt;=$E$10,8&lt;=$F$10),$D$10/($F$10-$E$10+1),0)</f>
        <v>0</v>
      </c>
      <c r="K36" s="40" t="n">
        <f aca="false">IF(AND(9&gt;=$E$10,9&lt;=$F$10),$D$10/($F$10-$E$10+1),0)</f>
        <v>0</v>
      </c>
      <c r="L36" s="40" t="n">
        <f aca="false">IF(AND(10&gt;=$E$10,10&lt;=$F$10),$D$10/($F$10-$E$10+1),0)</f>
        <v>0</v>
      </c>
      <c r="M36" s="40" t="n">
        <f aca="false">IF(AND(11&gt;=$E$10,11&lt;=$F$10),$D$10/($F$10-$E$10+1),0)</f>
        <v>0</v>
      </c>
      <c r="N36" s="40" t="n">
        <f aca="false">IF(AND(12&gt;=$E$10,12&lt;=$F$10),$D$10/($F$10-$E$10+1),0)</f>
        <v>0</v>
      </c>
    </row>
    <row r="37" customFormat="false" ht="15" hidden="false" customHeight="true" outlineLevel="0" collapsed="false">
      <c r="A37" s="16" t="n">
        <v>7</v>
      </c>
      <c r="B37" s="16" t="str">
        <f aca="false">B11</f>
        <v>Pre-launch security review</v>
      </c>
      <c r="C37" s="40" t="n">
        <f aca="false">IF(AND(1&gt;=$E$11,1&lt;=$F$11),$D$11/($F$11-$E$11+1),0)</f>
        <v>0</v>
      </c>
      <c r="D37" s="40" t="n">
        <f aca="false">IF(AND(2&gt;=$E$11,2&lt;=$F$11),$D$11/($F$11-$E$11+1),0)</f>
        <v>0</v>
      </c>
      <c r="E37" s="40" t="n">
        <f aca="false">IF(AND(3&gt;=$E$11,3&lt;=$F$11),$D$11/($F$11-$E$11+1),0)</f>
        <v>250000</v>
      </c>
      <c r="F37" s="40" t="n">
        <f aca="false">IF(AND(4&gt;=$E$11,4&lt;=$F$11),$D$11/($F$11-$E$11+1),0)</f>
        <v>0</v>
      </c>
      <c r="G37" s="40" t="n">
        <f aca="false">IF(AND(5&gt;=$E$11,5&lt;=$F$11),$D$11/($F$11-$E$11+1),0)</f>
        <v>0</v>
      </c>
      <c r="H37" s="40" t="n">
        <f aca="false">IF(AND(6&gt;=$E$11,6&lt;=$F$11),$D$11/($F$11-$E$11+1),0)</f>
        <v>0</v>
      </c>
      <c r="I37" s="40" t="n">
        <f aca="false">IF(AND(7&gt;=$E$11,7&lt;=$F$11),$D$11/($F$11-$E$11+1),0)</f>
        <v>0</v>
      </c>
      <c r="J37" s="40" t="n">
        <f aca="false">IF(AND(8&gt;=$E$11,8&lt;=$F$11),$D$11/($F$11-$E$11+1),0)</f>
        <v>0</v>
      </c>
      <c r="K37" s="40" t="n">
        <f aca="false">IF(AND(9&gt;=$E$11,9&lt;=$F$11),$D$11/($F$11-$E$11+1),0)</f>
        <v>0</v>
      </c>
      <c r="L37" s="40" t="n">
        <f aca="false">IF(AND(10&gt;=$E$11,10&lt;=$F$11),$D$11/($F$11-$E$11+1),0)</f>
        <v>0</v>
      </c>
      <c r="M37" s="40" t="n">
        <f aca="false">IF(AND(11&gt;=$E$11,11&lt;=$F$11),$D$11/($F$11-$E$11+1),0)</f>
        <v>0</v>
      </c>
      <c r="N37" s="40" t="n">
        <f aca="false">IF(AND(12&gt;=$E$11,12&lt;=$F$11),$D$11/($F$11-$E$11+1),0)</f>
        <v>0</v>
      </c>
    </row>
    <row r="38" customFormat="false" ht="15" hidden="false" customHeight="true" outlineLevel="0" collapsed="false">
      <c r="A38" s="16" t="n">
        <v>8</v>
      </c>
      <c r="B38" s="16" t="str">
        <f aca="false">B12</f>
        <v>Interviews + usability tests (incentives, recruiting)</v>
      </c>
      <c r="C38" s="40" t="n">
        <f aca="false">IF(AND(1&gt;=$E$12,1&lt;=$F$12),$D$12/($F$12-$E$12+1),0)</f>
        <v>83333.3333333333</v>
      </c>
      <c r="D38" s="40" t="n">
        <f aca="false">IF(AND(2&gt;=$E$12,2&lt;=$F$12),$D$12/($F$12-$E$12+1),0)</f>
        <v>83333.3333333333</v>
      </c>
      <c r="E38" s="40" t="n">
        <f aca="false">IF(AND(3&gt;=$E$12,3&lt;=$F$12),$D$12/($F$12-$E$12+1),0)</f>
        <v>83333.3333333333</v>
      </c>
      <c r="F38" s="40" t="n">
        <f aca="false">IF(AND(4&gt;=$E$12,4&lt;=$F$12),$D$12/($F$12-$E$12+1),0)</f>
        <v>0</v>
      </c>
      <c r="G38" s="40" t="n">
        <f aca="false">IF(AND(5&gt;=$E$12,5&lt;=$F$12),$D$12/($F$12-$E$12+1),0)</f>
        <v>0</v>
      </c>
      <c r="H38" s="40" t="n">
        <f aca="false">IF(AND(6&gt;=$E$12,6&lt;=$F$12),$D$12/($F$12-$E$12+1),0)</f>
        <v>0</v>
      </c>
      <c r="I38" s="40" t="n">
        <f aca="false">IF(AND(7&gt;=$E$12,7&lt;=$F$12),$D$12/($F$12-$E$12+1),0)</f>
        <v>0</v>
      </c>
      <c r="J38" s="40" t="n">
        <f aca="false">IF(AND(8&gt;=$E$12,8&lt;=$F$12),$D$12/($F$12-$E$12+1),0)</f>
        <v>0</v>
      </c>
      <c r="K38" s="40" t="n">
        <f aca="false">IF(AND(9&gt;=$E$12,9&lt;=$F$12),$D$12/($F$12-$E$12+1),0)</f>
        <v>0</v>
      </c>
      <c r="L38" s="40" t="n">
        <f aca="false">IF(AND(10&gt;=$E$12,10&lt;=$F$12),$D$12/($F$12-$E$12+1),0)</f>
        <v>0</v>
      </c>
      <c r="M38" s="40" t="n">
        <f aca="false">IF(AND(11&gt;=$E$12,11&lt;=$F$12),$D$12/($F$12-$E$12+1),0)</f>
        <v>0</v>
      </c>
      <c r="N38" s="40" t="n">
        <f aca="false">IF(AND(12&gt;=$E$12,12&lt;=$F$12),$D$12/($F$12-$E$12+1),0)</f>
        <v>0</v>
      </c>
    </row>
    <row r="39" customFormat="false" ht="15" hidden="false" customHeight="true" outlineLevel="0" collapsed="false">
      <c r="A39" s="16" t="n">
        <v>9</v>
      </c>
      <c r="B39" s="16" t="str">
        <f aca="false">B13</f>
        <v>Xiaohongshu content + KOC collaborations</v>
      </c>
      <c r="C39" s="40" t="n">
        <f aca="false">IF(AND(1&gt;=$E$13,1&lt;=$F$13),$D$13/($F$13-$E$13+1),0)</f>
        <v>0</v>
      </c>
      <c r="D39" s="40" t="n">
        <f aca="false">IF(AND(2&gt;=$E$13,2&lt;=$F$13),$D$13/($F$13-$E$13+1),0)</f>
        <v>0</v>
      </c>
      <c r="E39" s="40" t="n">
        <f aca="false">IF(AND(3&gt;=$E$13,3&lt;=$F$13),$D$13/($F$13-$E$13+1),0)</f>
        <v>0</v>
      </c>
      <c r="F39" s="40" t="n">
        <f aca="false">IF(AND(4&gt;=$E$13,4&lt;=$F$13),$D$13/($F$13-$E$13+1),0)</f>
        <v>133333.333333333</v>
      </c>
      <c r="G39" s="40" t="n">
        <f aca="false">IF(AND(5&gt;=$E$13,5&lt;=$F$13),$D$13/($F$13-$E$13+1),0)</f>
        <v>133333.333333333</v>
      </c>
      <c r="H39" s="40" t="n">
        <f aca="false">IF(AND(6&gt;=$E$13,6&lt;=$F$13),$D$13/($F$13-$E$13+1),0)</f>
        <v>133333.333333333</v>
      </c>
      <c r="I39" s="40" t="n">
        <f aca="false">IF(AND(7&gt;=$E$13,7&lt;=$F$13),$D$13/($F$13-$E$13+1),0)</f>
        <v>133333.333333333</v>
      </c>
      <c r="J39" s="40" t="n">
        <f aca="false">IF(AND(8&gt;=$E$13,8&lt;=$F$13),$D$13/($F$13-$E$13+1),0)</f>
        <v>133333.333333333</v>
      </c>
      <c r="K39" s="40" t="n">
        <f aca="false">IF(AND(9&gt;=$E$13,9&lt;=$F$13),$D$13/($F$13-$E$13+1),0)</f>
        <v>133333.333333333</v>
      </c>
      <c r="L39" s="40" t="n">
        <f aca="false">IF(AND(10&gt;=$E$13,10&lt;=$F$13),$D$13/($F$13-$E$13+1),0)</f>
        <v>133333.333333333</v>
      </c>
      <c r="M39" s="40" t="n">
        <f aca="false">IF(AND(11&gt;=$E$13,11&lt;=$F$13),$D$13/($F$13-$E$13+1),0)</f>
        <v>133333.333333333</v>
      </c>
      <c r="N39" s="40" t="n">
        <f aca="false">IF(AND(12&gt;=$E$13,12&lt;=$F$13),$D$13/($F$13-$E$13+1),0)</f>
        <v>133333.333333333</v>
      </c>
    </row>
    <row r="40" customFormat="false" ht="15" hidden="false" customHeight="true" outlineLevel="0" collapsed="false">
      <c r="A40" s="16" t="n">
        <v>10</v>
      </c>
      <c r="B40" s="16" t="str">
        <f aca="false">B14</f>
        <v>Printed postcards + QR cards</v>
      </c>
      <c r="C40" s="40" t="n">
        <f aca="false">IF(AND(1&gt;=$E$14,1&lt;=$F$14),$D$14/($F$14-$E$14+1),0)</f>
        <v>0</v>
      </c>
      <c r="D40" s="40" t="n">
        <f aca="false">IF(AND(2&gt;=$E$14,2&lt;=$F$14),$D$14/($F$14-$E$14+1),0)</f>
        <v>0</v>
      </c>
      <c r="E40" s="40" t="n">
        <f aca="false">IF(AND(3&gt;=$E$14,3&lt;=$F$14),$D$14/($F$14-$E$14+1),0)</f>
        <v>0</v>
      </c>
      <c r="F40" s="40" t="n">
        <f aca="false">IF(AND(4&gt;=$E$14,4&lt;=$F$14),$D$14/($F$14-$E$14+1),0)</f>
        <v>100000</v>
      </c>
      <c r="G40" s="40" t="n">
        <f aca="false">IF(AND(5&gt;=$E$14,5&lt;=$F$14),$D$14/($F$14-$E$14+1),0)</f>
        <v>0</v>
      </c>
      <c r="H40" s="40" t="n">
        <f aca="false">IF(AND(6&gt;=$E$14,6&lt;=$F$14),$D$14/($F$14-$E$14+1),0)</f>
        <v>0</v>
      </c>
      <c r="I40" s="40" t="n">
        <f aca="false">IF(AND(7&gt;=$E$14,7&lt;=$F$14),$D$14/($F$14-$E$14+1),0)</f>
        <v>0</v>
      </c>
      <c r="J40" s="40" t="n">
        <f aca="false">IF(AND(8&gt;=$E$14,8&lt;=$F$14),$D$14/($F$14-$E$14+1),0)</f>
        <v>0</v>
      </c>
      <c r="K40" s="40" t="n">
        <f aca="false">IF(AND(9&gt;=$E$14,9&lt;=$F$14),$D$14/($F$14-$E$14+1),0)</f>
        <v>0</v>
      </c>
      <c r="L40" s="40" t="n">
        <f aca="false">IF(AND(10&gt;=$E$14,10&lt;=$F$14),$D$14/($F$14-$E$14+1),0)</f>
        <v>0</v>
      </c>
      <c r="M40" s="40" t="n">
        <f aca="false">IF(AND(11&gt;=$E$14,11&lt;=$F$14),$D$14/($F$14-$E$14+1),0)</f>
        <v>0</v>
      </c>
      <c r="N40" s="40" t="n">
        <f aca="false">IF(AND(12&gt;=$E$14,12&lt;=$F$14),$D$14/($F$14-$E$14+1),0)</f>
        <v>0</v>
      </c>
    </row>
    <row r="41" customFormat="false" ht="15" hidden="false" customHeight="true" outlineLevel="0" collapsed="false">
      <c r="A41" s="16" t="n">
        <v>11</v>
      </c>
      <c r="B41" s="16" t="str">
        <f aca="false">B15</f>
        <v>Hosting, CDN, database, domain, e-mail, monitoring</v>
      </c>
      <c r="C41" s="40" t="n">
        <f aca="false">IF(AND(1&gt;=$E$15,1&lt;=$F$15),$D$15/($F$15-$E$15+1),0)</f>
        <v>25000</v>
      </c>
      <c r="D41" s="40" t="n">
        <f aca="false">IF(AND(2&gt;=$E$15,2&lt;=$F$15),$D$15/($F$15-$E$15+1),0)</f>
        <v>25000</v>
      </c>
      <c r="E41" s="40" t="n">
        <f aca="false">IF(AND(3&gt;=$E$15,3&lt;=$F$15),$D$15/($F$15-$E$15+1),0)</f>
        <v>25000</v>
      </c>
      <c r="F41" s="40" t="n">
        <f aca="false">IF(AND(4&gt;=$E$15,4&lt;=$F$15),$D$15/($F$15-$E$15+1),0)</f>
        <v>25000</v>
      </c>
      <c r="G41" s="40" t="n">
        <f aca="false">IF(AND(5&gt;=$E$15,5&lt;=$F$15),$D$15/($F$15-$E$15+1),0)</f>
        <v>25000</v>
      </c>
      <c r="H41" s="40" t="n">
        <f aca="false">IF(AND(6&gt;=$E$15,6&lt;=$F$15),$D$15/($F$15-$E$15+1),0)</f>
        <v>25000</v>
      </c>
      <c r="I41" s="40" t="n">
        <f aca="false">IF(AND(7&gt;=$E$15,7&lt;=$F$15),$D$15/($F$15-$E$15+1),0)</f>
        <v>25000</v>
      </c>
      <c r="J41" s="40" t="n">
        <f aca="false">IF(AND(8&gt;=$E$15,8&lt;=$F$15),$D$15/($F$15-$E$15+1),0)</f>
        <v>25000</v>
      </c>
      <c r="K41" s="40" t="n">
        <f aca="false">IF(AND(9&gt;=$E$15,9&lt;=$F$15),$D$15/($F$15-$E$15+1),0)</f>
        <v>25000</v>
      </c>
      <c r="L41" s="40" t="n">
        <f aca="false">IF(AND(10&gt;=$E$15,10&lt;=$F$15),$D$15/($F$15-$E$15+1),0)</f>
        <v>25000</v>
      </c>
      <c r="M41" s="40" t="n">
        <f aca="false">IF(AND(11&gt;=$E$15,11&lt;=$F$15),$D$15/($F$15-$E$15+1),0)</f>
        <v>25000</v>
      </c>
      <c r="N41" s="40" t="n">
        <f aca="false">IF(AND(12&gt;=$E$15,12&lt;=$F$15),$D$15/($F$15-$E$15+1),0)</f>
        <v>25000</v>
      </c>
    </row>
    <row r="42" customFormat="false" ht="15" hidden="false" customHeight="true" outlineLevel="0" collapsed="false">
      <c r="A42" s="16" t="n">
        <v>12</v>
      </c>
      <c r="B42" s="16" t="str">
        <f aca="false">B16</f>
        <v>Chinese-speaking support, part-time</v>
      </c>
      <c r="C42" s="40" t="n">
        <f aca="false">IF(AND(1&gt;=$E$16,1&lt;=$F$16),$D$16/($F$16-$E$16+1),0)</f>
        <v>0</v>
      </c>
      <c r="D42" s="40" t="n">
        <f aca="false">IF(AND(2&gt;=$E$16,2&lt;=$F$16),$D$16/($F$16-$E$16+1),0)</f>
        <v>0</v>
      </c>
      <c r="E42" s="40" t="n">
        <f aca="false">IF(AND(3&gt;=$E$16,3&lt;=$F$16),$D$16/($F$16-$E$16+1),0)</f>
        <v>0</v>
      </c>
      <c r="F42" s="40" t="n">
        <f aca="false">IF(AND(4&gt;=$E$16,4&lt;=$F$16),$D$16/($F$16-$E$16+1),0)</f>
        <v>120000</v>
      </c>
      <c r="G42" s="40" t="n">
        <f aca="false">IF(AND(5&gt;=$E$16,5&lt;=$F$16),$D$16/($F$16-$E$16+1),0)</f>
        <v>120000</v>
      </c>
      <c r="H42" s="40" t="n">
        <f aca="false">IF(AND(6&gt;=$E$16,6&lt;=$F$16),$D$16/($F$16-$E$16+1),0)</f>
        <v>120000</v>
      </c>
      <c r="I42" s="40" t="n">
        <f aca="false">IF(AND(7&gt;=$E$16,7&lt;=$F$16),$D$16/($F$16-$E$16+1),0)</f>
        <v>120000</v>
      </c>
      <c r="J42" s="40" t="n">
        <f aca="false">IF(AND(8&gt;=$E$16,8&lt;=$F$16),$D$16/($F$16-$E$16+1),0)</f>
        <v>120000</v>
      </c>
      <c r="K42" s="40" t="n">
        <f aca="false">IF(AND(9&gt;=$E$16,9&lt;=$F$16),$D$16/($F$16-$E$16+1),0)</f>
        <v>120000</v>
      </c>
      <c r="L42" s="40" t="n">
        <f aca="false">IF(AND(10&gt;=$E$16,10&lt;=$F$16),$D$16/($F$16-$E$16+1),0)</f>
        <v>120000</v>
      </c>
      <c r="M42" s="40" t="n">
        <f aca="false">IF(AND(11&gt;=$E$16,11&lt;=$F$16),$D$16/($F$16-$E$16+1),0)</f>
        <v>120000</v>
      </c>
      <c r="N42" s="40" t="n">
        <f aca="false">IF(AND(12&gt;=$E$16,12&lt;=$F$16),$D$16/($F$16-$E$16+1),0)</f>
        <v>120000</v>
      </c>
    </row>
    <row r="43" customFormat="false" ht="15" hidden="false" customHeight="true" outlineLevel="0" collapsed="false">
      <c r="A43" s="16" t="n">
        <v>13</v>
      </c>
      <c r="B43" s="16" t="str">
        <f aca="false">B17</f>
        <v>Contingency reserve (assumed fully used)</v>
      </c>
      <c r="C43" s="40" t="n">
        <f aca="false">IF(AND(1&gt;=$E$17,1&lt;=$F$17),$D$17/($F$17-$E$17+1),0)</f>
        <v>0</v>
      </c>
      <c r="D43" s="40" t="n">
        <f aca="false">IF(AND(2&gt;=$E$17,2&lt;=$F$17),$D$17/($F$17-$E$17+1),0)</f>
        <v>0</v>
      </c>
      <c r="E43" s="40" t="n">
        <f aca="false">IF(AND(3&gt;=$E$17,3&lt;=$F$17),$D$17/($F$17-$E$17+1),0)</f>
        <v>62000</v>
      </c>
      <c r="F43" s="40" t="n">
        <f aca="false">IF(AND(4&gt;=$E$17,4&lt;=$F$17),$D$17/($F$17-$E$17+1),0)</f>
        <v>62000</v>
      </c>
      <c r="G43" s="40" t="n">
        <f aca="false">IF(AND(5&gt;=$E$17,5&lt;=$F$17),$D$17/($F$17-$E$17+1),0)</f>
        <v>62000</v>
      </c>
      <c r="H43" s="40" t="n">
        <f aca="false">IF(AND(6&gt;=$E$17,6&lt;=$F$17),$D$17/($F$17-$E$17+1),0)</f>
        <v>62000</v>
      </c>
      <c r="I43" s="40" t="n">
        <f aca="false">IF(AND(7&gt;=$E$17,7&lt;=$F$17),$D$17/($F$17-$E$17+1),0)</f>
        <v>62000</v>
      </c>
      <c r="J43" s="40" t="n">
        <f aca="false">IF(AND(8&gt;=$E$17,8&lt;=$F$17),$D$17/($F$17-$E$17+1),0)</f>
        <v>62000</v>
      </c>
      <c r="K43" s="40" t="n">
        <f aca="false">IF(AND(9&gt;=$E$17,9&lt;=$F$17),$D$17/($F$17-$E$17+1),0)</f>
        <v>62000</v>
      </c>
      <c r="L43" s="40" t="n">
        <f aca="false">IF(AND(10&gt;=$E$17,10&lt;=$F$17),$D$17/($F$17-$E$17+1),0)</f>
        <v>62000</v>
      </c>
      <c r="M43" s="40" t="n">
        <f aca="false">IF(AND(11&gt;=$E$17,11&lt;=$F$17),$D$17/($F$17-$E$17+1),0)</f>
        <v>62000</v>
      </c>
      <c r="N43" s="40" t="n">
        <f aca="false">IF(AND(12&gt;=$E$17,12&lt;=$F$17),$D$17/($F$17-$E$17+1),0)</f>
        <v>62000</v>
      </c>
    </row>
    <row r="44" customFormat="false" ht="15" hidden="false" customHeight="true" outlineLevel="0" collapsed="false">
      <c r="A44" s="14"/>
      <c r="B44" s="33" t="s">
        <v>176</v>
      </c>
      <c r="C44" s="41" t="n">
        <f aca="false">SUM(C31:C43)</f>
        <v>1158333.33333333</v>
      </c>
      <c r="D44" s="41" t="n">
        <f aca="false">SUM(D31:D43)</f>
        <v>1783333.33333333</v>
      </c>
      <c r="E44" s="41" t="n">
        <f aca="false">SUM(E31:E43)</f>
        <v>1895333.33333333</v>
      </c>
      <c r="F44" s="41" t="n">
        <f aca="false">SUM(F31:F43)</f>
        <v>440333.333333333</v>
      </c>
      <c r="G44" s="41" t="n">
        <f aca="false">SUM(G31:G43)</f>
        <v>340333.333333333</v>
      </c>
      <c r="H44" s="41" t="n">
        <f aca="false">SUM(H31:H43)</f>
        <v>340333.333333333</v>
      </c>
      <c r="I44" s="41" t="n">
        <f aca="false">SUM(I31:I43)</f>
        <v>340333.333333333</v>
      </c>
      <c r="J44" s="41" t="n">
        <f aca="false">SUM(J31:J43)</f>
        <v>340333.333333333</v>
      </c>
      <c r="K44" s="41" t="n">
        <f aca="false">SUM(K31:K43)</f>
        <v>340333.333333333</v>
      </c>
      <c r="L44" s="41" t="n">
        <f aca="false">SUM(L31:L43)</f>
        <v>340333.333333333</v>
      </c>
      <c r="M44" s="41" t="n">
        <f aca="false">SUM(M31:M43)</f>
        <v>340333.333333333</v>
      </c>
      <c r="N44" s="41" t="n">
        <f aca="false">SUM(N31:N43)</f>
        <v>340333.333333333</v>
      </c>
    </row>
    <row r="45" customFormat="false" ht="15" hidden="false" customHeight="true" outlineLevel="0" collapsed="false">
      <c r="A45" s="14"/>
      <c r="B45" s="16" t="s">
        <v>177</v>
      </c>
      <c r="C45" s="33" t="str">
        <f aca="false">IF(ROUND(SUM(C44:N44),0)=D18,"OK","CHECK")</f>
        <v>OK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customFormat="false" ht="15" hidden="false" customHeight="true" outlineLevel="0" collapsed="false">
      <c r="A47" s="33" t="s">
        <v>178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customFormat="false" ht="39" hidden="false" customHeight="true" outlineLevel="0" collapsed="false">
      <c r="A48" s="14"/>
      <c r="B48" s="42" t="s">
        <v>179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customFormat="false" ht="39" hidden="false" customHeight="true" outlineLevel="0" collapsed="false">
      <c r="A49" s="14"/>
      <c r="B49" s="42" t="s">
        <v>180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customFormat="false" ht="26.25" hidden="false" customHeight="true" outlineLevel="0" collapsed="false">
      <c r="A50" s="14"/>
      <c r="B50" s="42" t="s">
        <v>181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customFormat="false" ht="15" hidden="false" customHeight="true" outlineLevel="0" collapsed="false">
      <c r="A52" s="33" t="s">
        <v>182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customFormat="false" ht="39" hidden="false" customHeight="true" outlineLevel="0" collapsed="false">
      <c r="A53" s="14"/>
      <c r="B53" s="42" t="s">
        <v>183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customFormat="false" ht="26.25" hidden="false" customHeight="true" outlineLevel="0" collapsed="false">
      <c r="A54" s="14"/>
      <c r="B54" s="42" t="s">
        <v>184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customFormat="false" ht="26.25" hidden="false" customHeight="true" outlineLevel="0" collapsed="false">
      <c r="A55" s="14"/>
      <c r="B55" s="42" t="s">
        <v>185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customFormat="false" ht="26.25" hidden="false" customHeight="true" outlineLevel="0" collapsed="false">
      <c r="A56" s="14"/>
      <c r="B56" s="42" t="s">
        <v>186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customFormat="false" ht="26.25" hidden="false" customHeight="true" outlineLevel="0" collapsed="false">
      <c r="A57" s="14"/>
      <c r="B57" s="42" t="s">
        <v>187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8"/>
    <col collapsed="false" customWidth="true" hidden="false" outlineLevel="0" max="2" min="2" style="12" width="22"/>
    <col collapsed="false" customWidth="true" hidden="false" outlineLevel="0" max="20" min="3" style="12" width="14"/>
  </cols>
  <sheetData>
    <row r="1" customFormat="false" ht="17.25" hidden="false" customHeight="true" outlineLevel="0" collapsed="false">
      <c r="A1" s="13" t="s">
        <v>188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customFormat="false" ht="15" hidden="false" customHeight="true" outlineLevel="0" collapsed="false">
      <c r="A2" s="22" t="s">
        <v>189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customFormat="false" ht="15" hidden="false" customHeight="true" outlineLevel="0" collapsed="false">
      <c r="A3" s="14"/>
      <c r="B3" s="14"/>
      <c r="C3" s="33" t="s">
        <v>33</v>
      </c>
      <c r="D3" s="14"/>
      <c r="E3" s="14"/>
      <c r="F3" s="14"/>
      <c r="G3" s="14"/>
      <c r="H3" s="14"/>
      <c r="I3" s="33" t="s">
        <v>34</v>
      </c>
      <c r="J3" s="14"/>
      <c r="K3" s="14"/>
      <c r="L3" s="14"/>
      <c r="M3" s="14"/>
      <c r="N3" s="14"/>
      <c r="O3" s="33" t="s">
        <v>35</v>
      </c>
      <c r="P3" s="14"/>
      <c r="Q3" s="14"/>
      <c r="R3" s="14"/>
      <c r="S3" s="14"/>
      <c r="T3" s="14"/>
    </row>
    <row r="4" customFormat="false" ht="51.75" hidden="false" customHeight="true" outlineLevel="0" collapsed="false">
      <c r="A4" s="15" t="s">
        <v>190</v>
      </c>
      <c r="B4" s="15" t="s">
        <v>191</v>
      </c>
      <c r="C4" s="15" t="s">
        <v>192</v>
      </c>
      <c r="D4" s="15" t="s">
        <v>193</v>
      </c>
      <c r="E4" s="15" t="s">
        <v>194</v>
      </c>
      <c r="F4" s="15" t="s">
        <v>195</v>
      </c>
      <c r="G4" s="15" t="s">
        <v>196</v>
      </c>
      <c r="H4" s="15" t="s">
        <v>197</v>
      </c>
      <c r="I4" s="15" t="s">
        <v>198</v>
      </c>
      <c r="J4" s="15" t="s">
        <v>199</v>
      </c>
      <c r="K4" s="15" t="s">
        <v>200</v>
      </c>
      <c r="L4" s="15" t="s">
        <v>201</v>
      </c>
      <c r="M4" s="15" t="s">
        <v>202</v>
      </c>
      <c r="N4" s="15" t="s">
        <v>203</v>
      </c>
      <c r="O4" s="15" t="s">
        <v>204</v>
      </c>
      <c r="P4" s="15" t="s">
        <v>205</v>
      </c>
      <c r="Q4" s="15" t="s">
        <v>206</v>
      </c>
      <c r="R4" s="15" t="s">
        <v>207</v>
      </c>
      <c r="S4" s="15" t="s">
        <v>208</v>
      </c>
      <c r="T4" s="15" t="s">
        <v>209</v>
      </c>
    </row>
    <row r="5" customFormat="false" ht="15" hidden="false" customHeight="true" outlineLevel="0" collapsed="false">
      <c r="A5" s="16" t="n">
        <v>1</v>
      </c>
      <c r="B5" s="43" t="n">
        <f aca="false">IF(A5&lt;=12,INDEX(Budget_8M!$C$44:$N$44,A5),Inputs!$B$24)</f>
        <v>1158333.33333333</v>
      </c>
      <c r="C5" s="44" t="n">
        <f aca="false">IF(A5&lt;Inputs!$B$9+Inputs!$D$29,0,Inputs!$B$29*Inputs!$B$23*MIN(1,(A5-Inputs!$B$9-Inputs!$D$29+1)/(Inputs!$B$10-Inputs!$B$9+1)))</f>
        <v>0</v>
      </c>
      <c r="D5" s="40" t="n">
        <f aca="false">C5*Inputs!$B$4</f>
        <v>0</v>
      </c>
      <c r="E5" s="40" t="n">
        <f aca="false">D5*Inputs!$C$29</f>
        <v>0</v>
      </c>
      <c r="F5" s="40" t="n">
        <f aca="false">E5-$B5</f>
        <v>-1158333.33333333</v>
      </c>
      <c r="G5" s="40" t="n">
        <f aca="false">F5</f>
        <v>-1158333.33333333</v>
      </c>
      <c r="H5" s="45" t="n">
        <f aca="false">IF(F5&gt;=0,1,0)</f>
        <v>0</v>
      </c>
      <c r="I5" s="44" t="n">
        <f aca="false">IF(A5&lt;Inputs!$B$9+Inputs!$D$30,0,Inputs!$B$30*Inputs!$B$23*MIN(1,(A5-Inputs!$B$9-Inputs!$D$30+1)/(Inputs!$B$10-Inputs!$B$9+1)))</f>
        <v>0</v>
      </c>
      <c r="J5" s="40" t="n">
        <f aca="false">I5*Inputs!$B$4</f>
        <v>0</v>
      </c>
      <c r="K5" s="40" t="n">
        <f aca="false">J5*Inputs!$C$30</f>
        <v>0</v>
      </c>
      <c r="L5" s="40" t="n">
        <f aca="false">K5-$B5</f>
        <v>-1158333.33333333</v>
      </c>
      <c r="M5" s="40" t="n">
        <f aca="false">L5</f>
        <v>-1158333.33333333</v>
      </c>
      <c r="N5" s="45" t="n">
        <f aca="false">IF(L5&gt;=0,1,0)</f>
        <v>0</v>
      </c>
      <c r="O5" s="44" t="n">
        <f aca="false">IF(A5&lt;Inputs!$B$9+Inputs!$D$31,0,Inputs!$B$31*Inputs!$B$23*MIN(1,(A5-Inputs!$B$9-Inputs!$D$31+1)/(Inputs!$B$10-Inputs!$B$9+1)))</f>
        <v>0</v>
      </c>
      <c r="P5" s="40" t="n">
        <f aca="false">O5*Inputs!$B$4</f>
        <v>0</v>
      </c>
      <c r="Q5" s="40" t="n">
        <f aca="false">P5*Inputs!$C$31</f>
        <v>0</v>
      </c>
      <c r="R5" s="40" t="n">
        <f aca="false">Q5-$B5</f>
        <v>-1158333.33333333</v>
      </c>
      <c r="S5" s="40" t="n">
        <f aca="false">R5</f>
        <v>-1158333.33333333</v>
      </c>
      <c r="T5" s="45" t="n">
        <f aca="false">IF(R5&gt;=0,1,0)</f>
        <v>0</v>
      </c>
    </row>
    <row r="6" customFormat="false" ht="15" hidden="false" customHeight="true" outlineLevel="0" collapsed="false">
      <c r="A6" s="16" t="n">
        <v>2</v>
      </c>
      <c r="B6" s="43" t="n">
        <f aca="false">IF(A6&lt;=12,INDEX(Budget_8M!$C$44:$N$44,A6),Inputs!$B$24)</f>
        <v>1783333.33333333</v>
      </c>
      <c r="C6" s="44" t="n">
        <f aca="false">IF(A6&lt;Inputs!$B$9+Inputs!$D$29,0,Inputs!$B$29*Inputs!$B$23*MIN(1,(A6-Inputs!$B$9-Inputs!$D$29+1)/(Inputs!$B$10-Inputs!$B$9+1)))</f>
        <v>0</v>
      </c>
      <c r="D6" s="40" t="n">
        <f aca="false">C6*Inputs!$B$4</f>
        <v>0</v>
      </c>
      <c r="E6" s="40" t="n">
        <f aca="false">D6*Inputs!$C$29</f>
        <v>0</v>
      </c>
      <c r="F6" s="40" t="n">
        <f aca="false">E6-$B6</f>
        <v>-1783333.33333333</v>
      </c>
      <c r="G6" s="40" t="n">
        <f aca="false">G5+F6</f>
        <v>-2941666.66666667</v>
      </c>
      <c r="H6" s="45" t="n">
        <f aca="false">IF(F6&gt;=0,1,0)</f>
        <v>0</v>
      </c>
      <c r="I6" s="44" t="n">
        <f aca="false">IF(A6&lt;Inputs!$B$9+Inputs!$D$30,0,Inputs!$B$30*Inputs!$B$23*MIN(1,(A6-Inputs!$B$9-Inputs!$D$30+1)/(Inputs!$B$10-Inputs!$B$9+1)))</f>
        <v>0</v>
      </c>
      <c r="J6" s="40" t="n">
        <f aca="false">I6*Inputs!$B$4</f>
        <v>0</v>
      </c>
      <c r="K6" s="40" t="n">
        <f aca="false">J6*Inputs!$C$30</f>
        <v>0</v>
      </c>
      <c r="L6" s="40" t="n">
        <f aca="false">K6-$B6</f>
        <v>-1783333.33333333</v>
      </c>
      <c r="M6" s="40" t="n">
        <f aca="false">M5+L6</f>
        <v>-2941666.66666667</v>
      </c>
      <c r="N6" s="45" t="n">
        <f aca="false">IF(L6&gt;=0,1,0)</f>
        <v>0</v>
      </c>
      <c r="O6" s="44" t="n">
        <f aca="false">IF(A6&lt;Inputs!$B$9+Inputs!$D$31,0,Inputs!$B$31*Inputs!$B$23*MIN(1,(A6-Inputs!$B$9-Inputs!$D$31+1)/(Inputs!$B$10-Inputs!$B$9+1)))</f>
        <v>0</v>
      </c>
      <c r="P6" s="40" t="n">
        <f aca="false">O6*Inputs!$B$4</f>
        <v>0</v>
      </c>
      <c r="Q6" s="40" t="n">
        <f aca="false">P6*Inputs!$C$31</f>
        <v>0</v>
      </c>
      <c r="R6" s="40" t="n">
        <f aca="false">Q6-$B6</f>
        <v>-1783333.33333333</v>
      </c>
      <c r="S6" s="40" t="n">
        <f aca="false">S5+R6</f>
        <v>-2941666.66666667</v>
      </c>
      <c r="T6" s="45" t="n">
        <f aca="false">IF(R6&gt;=0,1,0)</f>
        <v>0</v>
      </c>
    </row>
    <row r="7" customFormat="false" ht="15" hidden="false" customHeight="true" outlineLevel="0" collapsed="false">
      <c r="A7" s="16" t="n">
        <v>3</v>
      </c>
      <c r="B7" s="43" t="n">
        <f aca="false">IF(A7&lt;=12,INDEX(Budget_8M!$C$44:$N$44,A7),Inputs!$B$24)</f>
        <v>1895333.33333333</v>
      </c>
      <c r="C7" s="44" t="n">
        <f aca="false">IF(A7&lt;Inputs!$B$9+Inputs!$D$29,0,Inputs!$B$29*Inputs!$B$23*MIN(1,(A7-Inputs!$B$9-Inputs!$D$29+1)/(Inputs!$B$10-Inputs!$B$9+1)))</f>
        <v>0</v>
      </c>
      <c r="D7" s="40" t="n">
        <f aca="false">C7*Inputs!$B$4</f>
        <v>0</v>
      </c>
      <c r="E7" s="40" t="n">
        <f aca="false">D7*Inputs!$C$29</f>
        <v>0</v>
      </c>
      <c r="F7" s="40" t="n">
        <f aca="false">E7-$B7</f>
        <v>-1895333.33333333</v>
      </c>
      <c r="G7" s="40" t="n">
        <f aca="false">G6+F7</f>
        <v>-4837000</v>
      </c>
      <c r="H7" s="45" t="n">
        <f aca="false">IF(F7&gt;=0,1,0)</f>
        <v>0</v>
      </c>
      <c r="I7" s="44" t="n">
        <f aca="false">IF(A7&lt;Inputs!$B$9+Inputs!$D$30,0,Inputs!$B$30*Inputs!$B$23*MIN(1,(A7-Inputs!$B$9-Inputs!$D$30+1)/(Inputs!$B$10-Inputs!$B$9+1)))</f>
        <v>0</v>
      </c>
      <c r="J7" s="40" t="n">
        <f aca="false">I7*Inputs!$B$4</f>
        <v>0</v>
      </c>
      <c r="K7" s="40" t="n">
        <f aca="false">J7*Inputs!$C$30</f>
        <v>0</v>
      </c>
      <c r="L7" s="40" t="n">
        <f aca="false">K7-$B7</f>
        <v>-1895333.33333333</v>
      </c>
      <c r="M7" s="40" t="n">
        <f aca="false">M6+L7</f>
        <v>-4837000</v>
      </c>
      <c r="N7" s="45" t="n">
        <f aca="false">IF(L7&gt;=0,1,0)</f>
        <v>0</v>
      </c>
      <c r="O7" s="44" t="n">
        <f aca="false">IF(A7&lt;Inputs!$B$9+Inputs!$D$31,0,Inputs!$B$31*Inputs!$B$23*MIN(1,(A7-Inputs!$B$9-Inputs!$D$31+1)/(Inputs!$B$10-Inputs!$B$9+1)))</f>
        <v>0</v>
      </c>
      <c r="P7" s="40" t="n">
        <f aca="false">O7*Inputs!$B$4</f>
        <v>0</v>
      </c>
      <c r="Q7" s="40" t="n">
        <f aca="false">P7*Inputs!$C$31</f>
        <v>0</v>
      </c>
      <c r="R7" s="40" t="n">
        <f aca="false">Q7-$B7</f>
        <v>-1895333.33333333</v>
      </c>
      <c r="S7" s="40" t="n">
        <f aca="false">S6+R7</f>
        <v>-4837000</v>
      </c>
      <c r="T7" s="45" t="n">
        <f aca="false">IF(R7&gt;=0,1,0)</f>
        <v>0</v>
      </c>
    </row>
    <row r="8" customFormat="false" ht="15" hidden="false" customHeight="true" outlineLevel="0" collapsed="false">
      <c r="A8" s="16" t="n">
        <v>4</v>
      </c>
      <c r="B8" s="43" t="n">
        <f aca="false">IF(A8&lt;=12,INDEX(Budget_8M!$C$44:$N$44,A8),Inputs!$B$24)</f>
        <v>440333.333333333</v>
      </c>
      <c r="C8" s="44" t="n">
        <f aca="false">IF(A8&lt;Inputs!$B$9+Inputs!$D$29,0,Inputs!$B$29*Inputs!$B$23*MIN(1,(A8-Inputs!$B$9-Inputs!$D$29+1)/(Inputs!$B$10-Inputs!$B$9+1)))</f>
        <v>5.01133786848073</v>
      </c>
      <c r="D8" s="40" t="n">
        <f aca="false">C8*Inputs!$B$4</f>
        <v>220498.866213152</v>
      </c>
      <c r="E8" s="40" t="n">
        <f aca="false">D8*Inputs!$C$29</f>
        <v>66149.6598639456</v>
      </c>
      <c r="F8" s="40" t="n">
        <f aca="false">E8-$B8</f>
        <v>-374183.673469388</v>
      </c>
      <c r="G8" s="40" t="n">
        <f aca="false">G7+F8</f>
        <v>-5211183.67346939</v>
      </c>
      <c r="H8" s="45" t="n">
        <f aca="false">IF(F8&gt;=0,1,0)</f>
        <v>0</v>
      </c>
      <c r="I8" s="44" t="n">
        <f aca="false">IF(A8&lt;Inputs!$B$9+Inputs!$D$30,0,Inputs!$B$30*Inputs!$B$23*MIN(1,(A8-Inputs!$B$9-Inputs!$D$30+1)/(Inputs!$B$10-Inputs!$B$9+1)))</f>
        <v>3.50793650793651</v>
      </c>
      <c r="J8" s="40" t="n">
        <f aca="false">I8*Inputs!$B$4</f>
        <v>154349.206349206</v>
      </c>
      <c r="K8" s="40" t="n">
        <f aca="false">J8*Inputs!$C$30</f>
        <v>46304.7619047619</v>
      </c>
      <c r="L8" s="40" t="n">
        <f aca="false">K8-$B8</f>
        <v>-394028.571428572</v>
      </c>
      <c r="M8" s="40" t="n">
        <f aca="false">M7+L8</f>
        <v>-5231028.57142857</v>
      </c>
      <c r="N8" s="45" t="n">
        <f aca="false">IF(L8&gt;=0,1,0)</f>
        <v>0</v>
      </c>
      <c r="O8" s="44" t="n">
        <f aca="false">IF(A8&lt;Inputs!$B$9+Inputs!$D$31,0,Inputs!$B$31*Inputs!$B$23*MIN(1,(A8-Inputs!$B$9-Inputs!$D$31+1)/(Inputs!$B$10-Inputs!$B$9+1)))</f>
        <v>0</v>
      </c>
      <c r="P8" s="40" t="n">
        <f aca="false">O8*Inputs!$B$4</f>
        <v>0</v>
      </c>
      <c r="Q8" s="40" t="n">
        <f aca="false">P8*Inputs!$C$31</f>
        <v>0</v>
      </c>
      <c r="R8" s="40" t="n">
        <f aca="false">Q8-$B8</f>
        <v>-440333.333333333</v>
      </c>
      <c r="S8" s="40" t="n">
        <f aca="false">S7+R8</f>
        <v>-5277333.33333333</v>
      </c>
      <c r="T8" s="45" t="n">
        <f aca="false">IF(R8&gt;=0,1,0)</f>
        <v>0</v>
      </c>
    </row>
    <row r="9" customFormat="false" ht="15" hidden="false" customHeight="true" outlineLevel="0" collapsed="false">
      <c r="A9" s="16" t="n">
        <v>5</v>
      </c>
      <c r="B9" s="43" t="n">
        <f aca="false">IF(A9&lt;=12,INDEX(Budget_8M!$C$44:$N$44,A9),Inputs!$B$24)</f>
        <v>340333.333333333</v>
      </c>
      <c r="C9" s="44" t="n">
        <f aca="false">IF(A9&lt;Inputs!$B$9+Inputs!$D$29,0,Inputs!$B$29*Inputs!$B$23*MIN(1,(A9-Inputs!$B$9-Inputs!$D$29+1)/(Inputs!$B$10-Inputs!$B$9+1)))</f>
        <v>10.0226757369615</v>
      </c>
      <c r="D9" s="40" t="n">
        <f aca="false">C9*Inputs!$B$4</f>
        <v>440997.732426304</v>
      </c>
      <c r="E9" s="40" t="n">
        <f aca="false">D9*Inputs!$C$29</f>
        <v>132299.319727891</v>
      </c>
      <c r="F9" s="40" t="n">
        <f aca="false">E9-$B9</f>
        <v>-208034.013605442</v>
      </c>
      <c r="G9" s="40" t="n">
        <f aca="false">G8+F9</f>
        <v>-5419217.68707483</v>
      </c>
      <c r="H9" s="45" t="n">
        <f aca="false">IF(F9&gt;=0,1,0)</f>
        <v>0</v>
      </c>
      <c r="I9" s="44" t="n">
        <f aca="false">IF(A9&lt;Inputs!$B$9+Inputs!$D$30,0,Inputs!$B$30*Inputs!$B$23*MIN(1,(A9-Inputs!$B$9-Inputs!$D$30+1)/(Inputs!$B$10-Inputs!$B$9+1)))</f>
        <v>7.01587301587302</v>
      </c>
      <c r="J9" s="40" t="n">
        <f aca="false">I9*Inputs!$B$4</f>
        <v>308698.412698413</v>
      </c>
      <c r="K9" s="40" t="n">
        <f aca="false">J9*Inputs!$C$30</f>
        <v>92609.5238095238</v>
      </c>
      <c r="L9" s="40" t="n">
        <f aca="false">K9-$B9</f>
        <v>-247723.80952381</v>
      </c>
      <c r="M9" s="40" t="n">
        <f aca="false">M8+L9</f>
        <v>-5478752.38095238</v>
      </c>
      <c r="N9" s="45" t="n">
        <f aca="false">IF(L9&gt;=0,1,0)</f>
        <v>0</v>
      </c>
      <c r="O9" s="44" t="n">
        <f aca="false">IF(A9&lt;Inputs!$B$9+Inputs!$D$31,0,Inputs!$B$31*Inputs!$B$23*MIN(1,(A9-Inputs!$B$9-Inputs!$D$31+1)/(Inputs!$B$10-Inputs!$B$9+1)))</f>
        <v>0</v>
      </c>
      <c r="P9" s="40" t="n">
        <f aca="false">O9*Inputs!$B$4</f>
        <v>0</v>
      </c>
      <c r="Q9" s="40" t="n">
        <f aca="false">P9*Inputs!$C$31</f>
        <v>0</v>
      </c>
      <c r="R9" s="40" t="n">
        <f aca="false">Q9-$B9</f>
        <v>-340333.333333333</v>
      </c>
      <c r="S9" s="40" t="n">
        <f aca="false">S8+R9</f>
        <v>-5617666.66666667</v>
      </c>
      <c r="T9" s="45" t="n">
        <f aca="false">IF(R9&gt;=0,1,0)</f>
        <v>0</v>
      </c>
    </row>
    <row r="10" customFormat="false" ht="15" hidden="false" customHeight="true" outlineLevel="0" collapsed="false">
      <c r="A10" s="16" t="n">
        <v>6</v>
      </c>
      <c r="B10" s="43" t="n">
        <f aca="false">IF(A10&lt;=12,INDEX(Budget_8M!$C$44:$N$44,A10),Inputs!$B$24)</f>
        <v>340333.333333333</v>
      </c>
      <c r="C10" s="44" t="n">
        <f aca="false">IF(A10&lt;Inputs!$B$9+Inputs!$D$29,0,Inputs!$B$29*Inputs!$B$23*MIN(1,(A10-Inputs!$B$9-Inputs!$D$29+1)/(Inputs!$B$10-Inputs!$B$9+1)))</f>
        <v>15.0340136054422</v>
      </c>
      <c r="D10" s="40" t="n">
        <f aca="false">C10*Inputs!$B$4</f>
        <v>661496.598639456</v>
      </c>
      <c r="E10" s="40" t="n">
        <f aca="false">D10*Inputs!$C$29</f>
        <v>198448.979591837</v>
      </c>
      <c r="F10" s="40" t="n">
        <f aca="false">E10-$B10</f>
        <v>-141884.353741497</v>
      </c>
      <c r="G10" s="40" t="n">
        <f aca="false">G9+F10</f>
        <v>-5561102.04081633</v>
      </c>
      <c r="H10" s="45" t="n">
        <f aca="false">IF(F10&gt;=0,1,0)</f>
        <v>0</v>
      </c>
      <c r="I10" s="44" t="n">
        <f aca="false">IF(A10&lt;Inputs!$B$9+Inputs!$D$30,0,Inputs!$B$30*Inputs!$B$23*MIN(1,(A10-Inputs!$B$9-Inputs!$D$30+1)/(Inputs!$B$10-Inputs!$B$9+1)))</f>
        <v>10.5238095238095</v>
      </c>
      <c r="J10" s="40" t="n">
        <f aca="false">I10*Inputs!$B$4</f>
        <v>463047.619047619</v>
      </c>
      <c r="K10" s="40" t="n">
        <f aca="false">J10*Inputs!$C$30</f>
        <v>138914.285714286</v>
      </c>
      <c r="L10" s="40" t="n">
        <f aca="false">K10-$B10</f>
        <v>-201419.047619048</v>
      </c>
      <c r="M10" s="40" t="n">
        <f aca="false">M9+L10</f>
        <v>-5680171.42857143</v>
      </c>
      <c r="N10" s="45" t="n">
        <f aca="false">IF(L10&gt;=0,1,0)</f>
        <v>0</v>
      </c>
      <c r="O10" s="44" t="n">
        <f aca="false">IF(A10&lt;Inputs!$B$9+Inputs!$D$31,0,Inputs!$B$31*Inputs!$B$23*MIN(1,(A10-Inputs!$B$9-Inputs!$D$31+1)/(Inputs!$B$10-Inputs!$B$9+1)))</f>
        <v>2.00453514739229</v>
      </c>
      <c r="P10" s="40" t="n">
        <f aca="false">O10*Inputs!$B$4</f>
        <v>88199.5464852608</v>
      </c>
      <c r="Q10" s="40" t="n">
        <f aca="false">P10*Inputs!$C$31</f>
        <v>22049.8866213152</v>
      </c>
      <c r="R10" s="40" t="n">
        <f aca="false">Q10-$B10</f>
        <v>-318283.446712018</v>
      </c>
      <c r="S10" s="40" t="n">
        <f aca="false">S9+R10</f>
        <v>-5935950.11337868</v>
      </c>
      <c r="T10" s="45" t="n">
        <f aca="false">IF(R10&gt;=0,1,0)</f>
        <v>0</v>
      </c>
    </row>
    <row r="11" customFormat="false" ht="15" hidden="false" customHeight="true" outlineLevel="0" collapsed="false">
      <c r="A11" s="16" t="n">
        <v>7</v>
      </c>
      <c r="B11" s="43" t="n">
        <f aca="false">IF(A11&lt;=12,INDEX(Budget_8M!$C$44:$N$44,A11),Inputs!$B$24)</f>
        <v>340333.333333333</v>
      </c>
      <c r="C11" s="44" t="n">
        <f aca="false">IF(A11&lt;Inputs!$B$9+Inputs!$D$29,0,Inputs!$B$29*Inputs!$B$23*MIN(1,(A11-Inputs!$B$9-Inputs!$D$29+1)/(Inputs!$B$10-Inputs!$B$9+1)))</f>
        <v>20.0453514739229</v>
      </c>
      <c r="D11" s="40" t="n">
        <f aca="false">C11*Inputs!$B$4</f>
        <v>881995.464852608</v>
      </c>
      <c r="E11" s="40" t="n">
        <f aca="false">D11*Inputs!$C$29</f>
        <v>264598.639455782</v>
      </c>
      <c r="F11" s="40" t="n">
        <f aca="false">E11-$B11</f>
        <v>-75734.6938775511</v>
      </c>
      <c r="G11" s="40" t="n">
        <f aca="false">G10+F11</f>
        <v>-5636836.73469388</v>
      </c>
      <c r="H11" s="45" t="n">
        <f aca="false">IF(F11&gt;=0,1,0)</f>
        <v>0</v>
      </c>
      <c r="I11" s="44" t="n">
        <f aca="false">IF(A11&lt;Inputs!$B$9+Inputs!$D$30,0,Inputs!$B$30*Inputs!$B$23*MIN(1,(A11-Inputs!$B$9-Inputs!$D$30+1)/(Inputs!$B$10-Inputs!$B$9+1)))</f>
        <v>14.031746031746</v>
      </c>
      <c r="J11" s="40" t="n">
        <f aca="false">I11*Inputs!$B$4</f>
        <v>617396.825396825</v>
      </c>
      <c r="K11" s="40" t="n">
        <f aca="false">J11*Inputs!$C$30</f>
        <v>185219.047619048</v>
      </c>
      <c r="L11" s="40" t="n">
        <f aca="false">K11-$B11</f>
        <v>-155114.285714286</v>
      </c>
      <c r="M11" s="40" t="n">
        <f aca="false">M10+L11</f>
        <v>-5835285.71428572</v>
      </c>
      <c r="N11" s="45" t="n">
        <f aca="false">IF(L11&gt;=0,1,0)</f>
        <v>0</v>
      </c>
      <c r="O11" s="44" t="n">
        <f aca="false">IF(A11&lt;Inputs!$B$9+Inputs!$D$31,0,Inputs!$B$31*Inputs!$B$23*MIN(1,(A11-Inputs!$B$9-Inputs!$D$31+1)/(Inputs!$B$10-Inputs!$B$9+1)))</f>
        <v>4.00907029478458</v>
      </c>
      <c r="P11" s="40" t="n">
        <f aca="false">O11*Inputs!$B$4</f>
        <v>176399.092970522</v>
      </c>
      <c r="Q11" s="40" t="n">
        <f aca="false">P11*Inputs!$C$31</f>
        <v>44099.7732426304</v>
      </c>
      <c r="R11" s="40" t="n">
        <f aca="false">Q11-$B11</f>
        <v>-296233.560090703</v>
      </c>
      <c r="S11" s="40" t="n">
        <f aca="false">S10+R11</f>
        <v>-6232183.67346939</v>
      </c>
      <c r="T11" s="45" t="n">
        <f aca="false">IF(R11&gt;=0,1,0)</f>
        <v>0</v>
      </c>
    </row>
    <row r="12" customFormat="false" ht="15" hidden="false" customHeight="true" outlineLevel="0" collapsed="false">
      <c r="A12" s="16" t="n">
        <v>8</v>
      </c>
      <c r="B12" s="43" t="n">
        <f aca="false">IF(A12&lt;=12,INDEX(Budget_8M!$C$44:$N$44,A12),Inputs!$B$24)</f>
        <v>340333.333333333</v>
      </c>
      <c r="C12" s="44" t="n">
        <f aca="false">IF(A12&lt;Inputs!$B$9+Inputs!$D$29,0,Inputs!$B$29*Inputs!$B$23*MIN(1,(A12-Inputs!$B$9-Inputs!$D$29+1)/(Inputs!$B$10-Inputs!$B$9+1)))</f>
        <v>25.0566893424036</v>
      </c>
      <c r="D12" s="40" t="n">
        <f aca="false">C12*Inputs!$B$4</f>
        <v>1102494.33106576</v>
      </c>
      <c r="E12" s="40" t="n">
        <f aca="false">D12*Inputs!$C$29</f>
        <v>330748.299319728</v>
      </c>
      <c r="F12" s="40" t="n">
        <f aca="false">E12-$B12</f>
        <v>-9585.0340136055</v>
      </c>
      <c r="G12" s="40" t="n">
        <f aca="false">G11+F12</f>
        <v>-5646421.76870748</v>
      </c>
      <c r="H12" s="45" t="n">
        <f aca="false">IF(F12&gt;=0,1,0)</f>
        <v>0</v>
      </c>
      <c r="I12" s="44" t="n">
        <f aca="false">IF(A12&lt;Inputs!$B$9+Inputs!$D$30,0,Inputs!$B$30*Inputs!$B$23*MIN(1,(A12-Inputs!$B$9-Inputs!$D$30+1)/(Inputs!$B$10-Inputs!$B$9+1)))</f>
        <v>17.5396825396825</v>
      </c>
      <c r="J12" s="40" t="n">
        <f aca="false">I12*Inputs!$B$4</f>
        <v>771746.031746032</v>
      </c>
      <c r="K12" s="40" t="n">
        <f aca="false">J12*Inputs!$C$30</f>
        <v>231523.80952381</v>
      </c>
      <c r="L12" s="40" t="n">
        <f aca="false">K12-$B12</f>
        <v>-108809.523809524</v>
      </c>
      <c r="M12" s="40" t="n">
        <f aca="false">M11+L12</f>
        <v>-5944095.23809524</v>
      </c>
      <c r="N12" s="45" t="n">
        <f aca="false">IF(L12&gt;=0,1,0)</f>
        <v>0</v>
      </c>
      <c r="O12" s="44" t="n">
        <f aca="false">IF(A12&lt;Inputs!$B$9+Inputs!$D$31,0,Inputs!$B$31*Inputs!$B$23*MIN(1,(A12-Inputs!$B$9-Inputs!$D$31+1)/(Inputs!$B$10-Inputs!$B$9+1)))</f>
        <v>6.01360544217687</v>
      </c>
      <c r="P12" s="40" t="n">
        <f aca="false">O12*Inputs!$B$4</f>
        <v>264598.639455782</v>
      </c>
      <c r="Q12" s="40" t="n">
        <f aca="false">P12*Inputs!$C$31</f>
        <v>66149.6598639456</v>
      </c>
      <c r="R12" s="40" t="n">
        <f aca="false">Q12-$B12</f>
        <v>-274183.673469388</v>
      </c>
      <c r="S12" s="40" t="n">
        <f aca="false">S11+R12</f>
        <v>-6506367.34693878</v>
      </c>
      <c r="T12" s="45" t="n">
        <f aca="false">IF(R12&gt;=0,1,0)</f>
        <v>0</v>
      </c>
    </row>
    <row r="13" customFormat="false" ht="15" hidden="false" customHeight="true" outlineLevel="0" collapsed="false">
      <c r="A13" s="16" t="n">
        <v>9</v>
      </c>
      <c r="B13" s="43" t="n">
        <f aca="false">IF(A13&lt;=12,INDEX(Budget_8M!$C$44:$N$44,A13),Inputs!$B$24)</f>
        <v>340333.333333333</v>
      </c>
      <c r="C13" s="44" t="n">
        <f aca="false">IF(A13&lt;Inputs!$B$9+Inputs!$D$29,0,Inputs!$B$29*Inputs!$B$23*MIN(1,(A13-Inputs!$B$9-Inputs!$D$29+1)/(Inputs!$B$10-Inputs!$B$9+1)))</f>
        <v>30.0680272108844</v>
      </c>
      <c r="D13" s="40" t="n">
        <f aca="false">C13*Inputs!$B$4</f>
        <v>1322993.19727891</v>
      </c>
      <c r="E13" s="40" t="n">
        <f aca="false">D13*Inputs!$C$29</f>
        <v>396897.959183673</v>
      </c>
      <c r="F13" s="40" t="n">
        <f aca="false">E13-$B13</f>
        <v>56564.6258503401</v>
      </c>
      <c r="G13" s="40" t="n">
        <f aca="false">G12+F13</f>
        <v>-5589857.14285714</v>
      </c>
      <c r="H13" s="45" t="n">
        <f aca="false">IF(F13&gt;=0,1,0)</f>
        <v>1</v>
      </c>
      <c r="I13" s="44" t="n">
        <f aca="false">IF(A13&lt;Inputs!$B$9+Inputs!$D$30,0,Inputs!$B$30*Inputs!$B$23*MIN(1,(A13-Inputs!$B$9-Inputs!$D$30+1)/(Inputs!$B$10-Inputs!$B$9+1)))</f>
        <v>21.047619047619</v>
      </c>
      <c r="J13" s="40" t="n">
        <f aca="false">I13*Inputs!$B$4</f>
        <v>926095.238095238</v>
      </c>
      <c r="K13" s="40" t="n">
        <f aca="false">J13*Inputs!$C$30</f>
        <v>277828.571428571</v>
      </c>
      <c r="L13" s="40" t="n">
        <f aca="false">K13-$B13</f>
        <v>-62504.761904762</v>
      </c>
      <c r="M13" s="40" t="n">
        <f aca="false">M12+L13</f>
        <v>-6006600</v>
      </c>
      <c r="N13" s="45" t="n">
        <f aca="false">IF(L13&gt;=0,1,0)</f>
        <v>0</v>
      </c>
      <c r="O13" s="44" t="n">
        <f aca="false">IF(A13&lt;Inputs!$B$9+Inputs!$D$31,0,Inputs!$B$31*Inputs!$B$23*MIN(1,(A13-Inputs!$B$9-Inputs!$D$31+1)/(Inputs!$B$10-Inputs!$B$9+1)))</f>
        <v>8.01814058956916</v>
      </c>
      <c r="P13" s="40" t="n">
        <f aca="false">O13*Inputs!$B$4</f>
        <v>352798.185941043</v>
      </c>
      <c r="Q13" s="40" t="n">
        <f aca="false">P13*Inputs!$C$31</f>
        <v>88199.5464852608</v>
      </c>
      <c r="R13" s="40" t="n">
        <f aca="false">Q13-$B13</f>
        <v>-252133.786848073</v>
      </c>
      <c r="S13" s="40" t="n">
        <f aca="false">S12+R13</f>
        <v>-6758501.13378685</v>
      </c>
      <c r="T13" s="45" t="n">
        <f aca="false">IF(R13&gt;=0,1,0)</f>
        <v>0</v>
      </c>
    </row>
    <row r="14" customFormat="false" ht="15" hidden="false" customHeight="true" outlineLevel="0" collapsed="false">
      <c r="A14" s="16" t="n">
        <v>10</v>
      </c>
      <c r="B14" s="43" t="n">
        <f aca="false">IF(A14&lt;=12,INDEX(Budget_8M!$C$44:$N$44,A14),Inputs!$B$24)</f>
        <v>340333.333333333</v>
      </c>
      <c r="C14" s="44" t="n">
        <f aca="false">IF(A14&lt;Inputs!$B$9+Inputs!$D$29,0,Inputs!$B$29*Inputs!$B$23*MIN(1,(A14-Inputs!$B$9-Inputs!$D$29+1)/(Inputs!$B$10-Inputs!$B$9+1)))</f>
        <v>35.0793650793651</v>
      </c>
      <c r="D14" s="40" t="n">
        <f aca="false">C14*Inputs!$B$4</f>
        <v>1543492.06349206</v>
      </c>
      <c r="E14" s="40" t="n">
        <f aca="false">D14*Inputs!$C$29</f>
        <v>463047.619047619</v>
      </c>
      <c r="F14" s="40" t="n">
        <f aca="false">E14-$B14</f>
        <v>122714.285714286</v>
      </c>
      <c r="G14" s="40" t="n">
        <f aca="false">G13+F14</f>
        <v>-5467142.85714286</v>
      </c>
      <c r="H14" s="45" t="n">
        <f aca="false">IF(F14&gt;=0,1,0)</f>
        <v>1</v>
      </c>
      <c r="I14" s="44" t="n">
        <f aca="false">IF(A14&lt;Inputs!$B$9+Inputs!$D$30,0,Inputs!$B$30*Inputs!$B$23*MIN(1,(A14-Inputs!$B$9-Inputs!$D$30+1)/(Inputs!$B$10-Inputs!$B$9+1)))</f>
        <v>24.5555555555556</v>
      </c>
      <c r="J14" s="40" t="n">
        <f aca="false">I14*Inputs!$B$4</f>
        <v>1080444.44444444</v>
      </c>
      <c r="K14" s="40" t="n">
        <f aca="false">J14*Inputs!$C$30</f>
        <v>324133.333333333</v>
      </c>
      <c r="L14" s="40" t="n">
        <f aca="false">K14-$B14</f>
        <v>-16200.0000000001</v>
      </c>
      <c r="M14" s="40" t="n">
        <f aca="false">M13+L14</f>
        <v>-6022800</v>
      </c>
      <c r="N14" s="45" t="n">
        <f aca="false">IF(L14&gt;=0,1,0)</f>
        <v>0</v>
      </c>
      <c r="O14" s="44" t="n">
        <f aca="false">IF(A14&lt;Inputs!$B$9+Inputs!$D$31,0,Inputs!$B$31*Inputs!$B$23*MIN(1,(A14-Inputs!$B$9-Inputs!$D$31+1)/(Inputs!$B$10-Inputs!$B$9+1)))</f>
        <v>10.0226757369615</v>
      </c>
      <c r="P14" s="40" t="n">
        <f aca="false">O14*Inputs!$B$4</f>
        <v>440997.732426304</v>
      </c>
      <c r="Q14" s="40" t="n">
        <f aca="false">P14*Inputs!$C$31</f>
        <v>110249.433106576</v>
      </c>
      <c r="R14" s="40" t="n">
        <f aca="false">Q14-$B14</f>
        <v>-230083.900226757</v>
      </c>
      <c r="S14" s="40" t="n">
        <f aca="false">S13+R14</f>
        <v>-6988585.03401361</v>
      </c>
      <c r="T14" s="45" t="n">
        <f aca="false">IF(R14&gt;=0,1,0)</f>
        <v>0</v>
      </c>
    </row>
    <row r="15" customFormat="false" ht="15" hidden="false" customHeight="true" outlineLevel="0" collapsed="false">
      <c r="A15" s="16" t="n">
        <v>11</v>
      </c>
      <c r="B15" s="43" t="n">
        <f aca="false">IF(A15&lt;=12,INDEX(Budget_8M!$C$44:$N$44,A15),Inputs!$B$24)</f>
        <v>340333.333333333</v>
      </c>
      <c r="C15" s="44" t="n">
        <f aca="false">IF(A15&lt;Inputs!$B$9+Inputs!$D$29,0,Inputs!$B$29*Inputs!$B$23*MIN(1,(A15-Inputs!$B$9-Inputs!$D$29+1)/(Inputs!$B$10-Inputs!$B$9+1)))</f>
        <v>40.0907029478458</v>
      </c>
      <c r="D15" s="40" t="n">
        <f aca="false">C15*Inputs!$B$4</f>
        <v>1763990.92970522</v>
      </c>
      <c r="E15" s="40" t="n">
        <f aca="false">D15*Inputs!$C$29</f>
        <v>529197.278911565</v>
      </c>
      <c r="F15" s="40" t="n">
        <f aca="false">E15-$B15</f>
        <v>188863.945578231</v>
      </c>
      <c r="G15" s="40" t="n">
        <f aca="false">G14+F15</f>
        <v>-5278278.91156463</v>
      </c>
      <c r="H15" s="45" t="n">
        <f aca="false">IF(F15&gt;=0,1,0)</f>
        <v>1</v>
      </c>
      <c r="I15" s="44" t="n">
        <f aca="false">IF(A15&lt;Inputs!$B$9+Inputs!$D$30,0,Inputs!$B$30*Inputs!$B$23*MIN(1,(A15-Inputs!$B$9-Inputs!$D$30+1)/(Inputs!$B$10-Inputs!$B$9+1)))</f>
        <v>28.0634920634921</v>
      </c>
      <c r="J15" s="40" t="n">
        <f aca="false">I15*Inputs!$B$4</f>
        <v>1234793.65079365</v>
      </c>
      <c r="K15" s="40" t="n">
        <f aca="false">J15*Inputs!$C$30</f>
        <v>370438.095238095</v>
      </c>
      <c r="L15" s="40" t="n">
        <f aca="false">K15-$B15</f>
        <v>30104.7619047618</v>
      </c>
      <c r="M15" s="40" t="n">
        <f aca="false">M14+L15</f>
        <v>-5992695.23809524</v>
      </c>
      <c r="N15" s="45" t="n">
        <f aca="false">IF(L15&gt;=0,1,0)</f>
        <v>1</v>
      </c>
      <c r="O15" s="44" t="n">
        <f aca="false">IF(A15&lt;Inputs!$B$9+Inputs!$D$31,0,Inputs!$B$31*Inputs!$B$23*MIN(1,(A15-Inputs!$B$9-Inputs!$D$31+1)/(Inputs!$B$10-Inputs!$B$9+1)))</f>
        <v>12.0272108843537</v>
      </c>
      <c r="P15" s="40" t="n">
        <f aca="false">O15*Inputs!$B$4</f>
        <v>529197.278911565</v>
      </c>
      <c r="Q15" s="40" t="n">
        <f aca="false">P15*Inputs!$C$31</f>
        <v>132299.319727891</v>
      </c>
      <c r="R15" s="40" t="n">
        <f aca="false">Q15-$B15</f>
        <v>-208034.013605442</v>
      </c>
      <c r="S15" s="40" t="n">
        <f aca="false">S14+R15</f>
        <v>-7196619.04761905</v>
      </c>
      <c r="T15" s="45" t="n">
        <f aca="false">IF(R15&gt;=0,1,0)</f>
        <v>0</v>
      </c>
    </row>
    <row r="16" customFormat="false" ht="15" hidden="false" customHeight="true" outlineLevel="0" collapsed="false">
      <c r="A16" s="16" t="n">
        <v>12</v>
      </c>
      <c r="B16" s="43" t="n">
        <f aca="false">IF(A16&lt;=12,INDEX(Budget_8M!$C$44:$N$44,A16),Inputs!$B$24)</f>
        <v>340333.333333333</v>
      </c>
      <c r="C16" s="44" t="n">
        <f aca="false">IF(A16&lt;Inputs!$B$9+Inputs!$D$29,0,Inputs!$B$29*Inputs!$B$23*MIN(1,(A16-Inputs!$B$9-Inputs!$D$29+1)/(Inputs!$B$10-Inputs!$B$9+1)))</f>
        <v>45.1020408163265</v>
      </c>
      <c r="D16" s="40" t="n">
        <f aca="false">C16*Inputs!$B$4</f>
        <v>1984489.79591837</v>
      </c>
      <c r="E16" s="40" t="n">
        <f aca="false">D16*Inputs!$C$29</f>
        <v>595346.93877551</v>
      </c>
      <c r="F16" s="40" t="n">
        <f aca="false">E16-$B16</f>
        <v>255013.605442177</v>
      </c>
      <c r="G16" s="40" t="n">
        <f aca="false">G15+F16</f>
        <v>-5023265.30612245</v>
      </c>
      <c r="H16" s="45" t="n">
        <f aca="false">IF(F16&gt;=0,1,0)</f>
        <v>1</v>
      </c>
      <c r="I16" s="44" t="n">
        <f aca="false">IF(A16&lt;Inputs!$B$9+Inputs!$D$30,0,Inputs!$B$30*Inputs!$B$23*MIN(1,(A16-Inputs!$B$9-Inputs!$D$30+1)/(Inputs!$B$10-Inputs!$B$9+1)))</f>
        <v>31.5714285714286</v>
      </c>
      <c r="J16" s="40" t="n">
        <f aca="false">I16*Inputs!$B$4</f>
        <v>1389142.85714286</v>
      </c>
      <c r="K16" s="40" t="n">
        <f aca="false">J16*Inputs!$C$30</f>
        <v>416742.857142857</v>
      </c>
      <c r="L16" s="40" t="n">
        <f aca="false">K16-$B16</f>
        <v>76409.5238095237</v>
      </c>
      <c r="M16" s="40" t="n">
        <f aca="false">M15+L16</f>
        <v>-5916285.71428572</v>
      </c>
      <c r="N16" s="45" t="n">
        <f aca="false">IF(L16&gt;=0,1,0)</f>
        <v>1</v>
      </c>
      <c r="O16" s="44" t="n">
        <f aca="false">IF(A16&lt;Inputs!$B$9+Inputs!$D$31,0,Inputs!$B$31*Inputs!$B$23*MIN(1,(A16-Inputs!$B$9-Inputs!$D$31+1)/(Inputs!$B$10-Inputs!$B$9+1)))</f>
        <v>14.031746031746</v>
      </c>
      <c r="P16" s="40" t="n">
        <f aca="false">O16*Inputs!$B$4</f>
        <v>617396.825396825</v>
      </c>
      <c r="Q16" s="40" t="n">
        <f aca="false">P16*Inputs!$C$31</f>
        <v>154349.206349206</v>
      </c>
      <c r="R16" s="40" t="n">
        <f aca="false">Q16-$B16</f>
        <v>-185984.126984127</v>
      </c>
      <c r="S16" s="40" t="n">
        <f aca="false">S15+R16</f>
        <v>-7382603.17460317</v>
      </c>
      <c r="T16" s="45" t="n">
        <f aca="false">IF(R16&gt;=0,1,0)</f>
        <v>0</v>
      </c>
    </row>
    <row r="17" customFormat="false" ht="15" hidden="false" customHeight="true" outlineLevel="0" collapsed="false">
      <c r="A17" s="16" t="n">
        <v>13</v>
      </c>
      <c r="B17" s="46" t="n">
        <f aca="false">IF(A17&lt;=12,INDEX(Budget_8M!$C$44:$N$44,A17),Inputs!$B$24)</f>
        <v>395000</v>
      </c>
      <c r="C17" s="44" t="n">
        <f aca="false">IF(A17&lt;Inputs!$B$9+Inputs!$D$29,0,Inputs!$B$29*Inputs!$B$23*MIN(1,(A17-Inputs!$B$9-Inputs!$D$29+1)/(Inputs!$B$10-Inputs!$B$9+1)))</f>
        <v>50.1133786848073</v>
      </c>
      <c r="D17" s="40" t="n">
        <f aca="false">C17*Inputs!$B$4</f>
        <v>2204988.66213152</v>
      </c>
      <c r="E17" s="40" t="n">
        <f aca="false">D17*Inputs!$C$29</f>
        <v>661496.598639456</v>
      </c>
      <c r="F17" s="40" t="n">
        <f aca="false">E17-$B17</f>
        <v>266496.598639456</v>
      </c>
      <c r="G17" s="40" t="n">
        <f aca="false">G16+F17</f>
        <v>-4756768.70748299</v>
      </c>
      <c r="H17" s="45" t="n">
        <f aca="false">IF(F17&gt;=0,1,0)</f>
        <v>1</v>
      </c>
      <c r="I17" s="44" t="n">
        <f aca="false">IF(A17&lt;Inputs!$B$9+Inputs!$D$30,0,Inputs!$B$30*Inputs!$B$23*MIN(1,(A17-Inputs!$B$9-Inputs!$D$30+1)/(Inputs!$B$10-Inputs!$B$9+1)))</f>
        <v>35.0793650793651</v>
      </c>
      <c r="J17" s="40" t="n">
        <f aca="false">I17*Inputs!$B$4</f>
        <v>1543492.06349206</v>
      </c>
      <c r="K17" s="40" t="n">
        <f aca="false">J17*Inputs!$C$30</f>
        <v>463047.619047619</v>
      </c>
      <c r="L17" s="40" t="n">
        <f aca="false">K17-$B17</f>
        <v>68047.619047619</v>
      </c>
      <c r="M17" s="40" t="n">
        <f aca="false">M16+L17</f>
        <v>-5848238.0952381</v>
      </c>
      <c r="N17" s="45" t="n">
        <f aca="false">IF(L17&gt;=0,1,0)</f>
        <v>1</v>
      </c>
      <c r="O17" s="44" t="n">
        <f aca="false">IF(A17&lt;Inputs!$B$9+Inputs!$D$31,0,Inputs!$B$31*Inputs!$B$23*MIN(1,(A17-Inputs!$B$9-Inputs!$D$31+1)/(Inputs!$B$10-Inputs!$B$9+1)))</f>
        <v>16.0362811791383</v>
      </c>
      <c r="P17" s="40" t="n">
        <f aca="false">O17*Inputs!$B$4</f>
        <v>705596.371882086</v>
      </c>
      <c r="Q17" s="40" t="n">
        <f aca="false">P17*Inputs!$C$31</f>
        <v>176399.092970522</v>
      </c>
      <c r="R17" s="40" t="n">
        <f aca="false">Q17-$B17</f>
        <v>-218600.907029478</v>
      </c>
      <c r="S17" s="40" t="n">
        <f aca="false">S16+R17</f>
        <v>-7601204.08163265</v>
      </c>
      <c r="T17" s="45" t="n">
        <f aca="false">IF(R17&gt;=0,1,0)</f>
        <v>0</v>
      </c>
    </row>
    <row r="18" customFormat="false" ht="15" hidden="false" customHeight="true" outlineLevel="0" collapsed="false">
      <c r="A18" s="16" t="n">
        <v>14</v>
      </c>
      <c r="B18" s="46" t="n">
        <f aca="false">IF(A18&lt;=12,INDEX(Budget_8M!$C$44:$N$44,A18),Inputs!$B$24)</f>
        <v>395000</v>
      </c>
      <c r="C18" s="44" t="n">
        <f aca="false">IF(A18&lt;Inputs!$B$9+Inputs!$D$29,0,Inputs!$B$29*Inputs!$B$23*MIN(1,(A18-Inputs!$B$9-Inputs!$D$29+1)/(Inputs!$B$10-Inputs!$B$9+1)))</f>
        <v>55.124716553288</v>
      </c>
      <c r="D18" s="40" t="n">
        <f aca="false">C18*Inputs!$B$4</f>
        <v>2425487.52834467</v>
      </c>
      <c r="E18" s="40" t="n">
        <f aca="false">D18*Inputs!$C$29</f>
        <v>727646.258503402</v>
      </c>
      <c r="F18" s="40" t="n">
        <f aca="false">E18-$B18</f>
        <v>332646.258503402</v>
      </c>
      <c r="G18" s="40" t="n">
        <f aca="false">G17+F18</f>
        <v>-4424122.44897959</v>
      </c>
      <c r="H18" s="45" t="n">
        <f aca="false">IF(F18&gt;=0,1,0)</f>
        <v>1</v>
      </c>
      <c r="I18" s="44" t="n">
        <f aca="false">IF(A18&lt;Inputs!$B$9+Inputs!$D$30,0,Inputs!$B$30*Inputs!$B$23*MIN(1,(A18-Inputs!$B$9-Inputs!$D$30+1)/(Inputs!$B$10-Inputs!$B$9+1)))</f>
        <v>38.5873015873016</v>
      </c>
      <c r="J18" s="40" t="n">
        <f aca="false">I18*Inputs!$B$4</f>
        <v>1697841.26984127</v>
      </c>
      <c r="K18" s="40" t="n">
        <f aca="false">J18*Inputs!$C$30</f>
        <v>509352.380952381</v>
      </c>
      <c r="L18" s="40" t="n">
        <f aca="false">K18-$B18</f>
        <v>114352.380952381</v>
      </c>
      <c r="M18" s="40" t="n">
        <f aca="false">M17+L18</f>
        <v>-5733885.71428572</v>
      </c>
      <c r="N18" s="45" t="n">
        <f aca="false">IF(L18&gt;=0,1,0)</f>
        <v>1</v>
      </c>
      <c r="O18" s="44" t="n">
        <f aca="false">IF(A18&lt;Inputs!$B$9+Inputs!$D$31,0,Inputs!$B$31*Inputs!$B$23*MIN(1,(A18-Inputs!$B$9-Inputs!$D$31+1)/(Inputs!$B$10-Inputs!$B$9+1)))</f>
        <v>18.0408163265306</v>
      </c>
      <c r="P18" s="40" t="n">
        <f aca="false">O18*Inputs!$B$4</f>
        <v>793795.918367347</v>
      </c>
      <c r="Q18" s="40" t="n">
        <f aca="false">P18*Inputs!$C$31</f>
        <v>198448.979591837</v>
      </c>
      <c r="R18" s="40" t="n">
        <f aca="false">Q18-$B18</f>
        <v>-196551.020408163</v>
      </c>
      <c r="S18" s="40" t="n">
        <f aca="false">S17+R18</f>
        <v>-7797755.10204082</v>
      </c>
      <c r="T18" s="45" t="n">
        <f aca="false">IF(R18&gt;=0,1,0)</f>
        <v>0</v>
      </c>
    </row>
    <row r="19" customFormat="false" ht="15" hidden="false" customHeight="true" outlineLevel="0" collapsed="false">
      <c r="A19" s="16" t="n">
        <v>15</v>
      </c>
      <c r="B19" s="46" t="n">
        <f aca="false">IF(A19&lt;=12,INDEX(Budget_8M!$C$44:$N$44,A19),Inputs!$B$24)</f>
        <v>395000</v>
      </c>
      <c r="C19" s="44" t="n">
        <f aca="false">IF(A19&lt;Inputs!$B$9+Inputs!$D$29,0,Inputs!$B$29*Inputs!$B$23*MIN(1,(A19-Inputs!$B$9-Inputs!$D$29+1)/(Inputs!$B$10-Inputs!$B$9+1)))</f>
        <v>60.1360544217687</v>
      </c>
      <c r="D19" s="40" t="n">
        <f aca="false">C19*Inputs!$B$4</f>
        <v>2645986.39455782</v>
      </c>
      <c r="E19" s="40" t="n">
        <f aca="false">D19*Inputs!$C$29</f>
        <v>793795.918367347</v>
      </c>
      <c r="F19" s="40" t="n">
        <f aca="false">E19-$B19</f>
        <v>398795.918367347</v>
      </c>
      <c r="G19" s="40" t="n">
        <f aca="false">G18+F19</f>
        <v>-4025326.53061225</v>
      </c>
      <c r="H19" s="45" t="n">
        <f aca="false">IF(F19&gt;=0,1,0)</f>
        <v>1</v>
      </c>
      <c r="I19" s="44" t="n">
        <f aca="false">IF(A19&lt;Inputs!$B$9+Inputs!$D$30,0,Inputs!$B$30*Inputs!$B$23*MIN(1,(A19-Inputs!$B$9-Inputs!$D$30+1)/(Inputs!$B$10-Inputs!$B$9+1)))</f>
        <v>42.0952380952381</v>
      </c>
      <c r="J19" s="40" t="n">
        <f aca="false">I19*Inputs!$B$4</f>
        <v>1852190.47619048</v>
      </c>
      <c r="K19" s="40" t="n">
        <f aca="false">J19*Inputs!$C$30</f>
        <v>555657.142857143</v>
      </c>
      <c r="L19" s="40" t="n">
        <f aca="false">K19-$B19</f>
        <v>160657.142857143</v>
      </c>
      <c r="M19" s="40" t="n">
        <f aca="false">M18+L19</f>
        <v>-5573228.57142857</v>
      </c>
      <c r="N19" s="45" t="n">
        <f aca="false">IF(L19&gt;=0,1,0)</f>
        <v>1</v>
      </c>
      <c r="O19" s="44" t="n">
        <f aca="false">IF(A19&lt;Inputs!$B$9+Inputs!$D$31,0,Inputs!$B$31*Inputs!$B$23*MIN(1,(A19-Inputs!$B$9-Inputs!$D$31+1)/(Inputs!$B$10-Inputs!$B$9+1)))</f>
        <v>20.0453514739229</v>
      </c>
      <c r="P19" s="40" t="n">
        <f aca="false">O19*Inputs!$B$4</f>
        <v>881995.464852608</v>
      </c>
      <c r="Q19" s="40" t="n">
        <f aca="false">P19*Inputs!$C$31</f>
        <v>220498.866213152</v>
      </c>
      <c r="R19" s="40" t="n">
        <f aca="false">Q19-$B19</f>
        <v>-174501.133786848</v>
      </c>
      <c r="S19" s="40" t="n">
        <f aca="false">S18+R19</f>
        <v>-7972256.23582766</v>
      </c>
      <c r="T19" s="45" t="n">
        <f aca="false">IF(R19&gt;=0,1,0)</f>
        <v>0</v>
      </c>
    </row>
    <row r="20" customFormat="false" ht="15" hidden="false" customHeight="true" outlineLevel="0" collapsed="false">
      <c r="A20" s="16" t="n">
        <v>16</v>
      </c>
      <c r="B20" s="46" t="n">
        <f aca="false">IF(A20&lt;=12,INDEX(Budget_8M!$C$44:$N$44,A20),Inputs!$B$24)</f>
        <v>395000</v>
      </c>
      <c r="C20" s="44" t="n">
        <f aca="false">IF(A20&lt;Inputs!$B$9+Inputs!$D$29,0,Inputs!$B$29*Inputs!$B$23*MIN(1,(A20-Inputs!$B$9-Inputs!$D$29+1)/(Inputs!$B$10-Inputs!$B$9+1)))</f>
        <v>65.1473922902494</v>
      </c>
      <c r="D20" s="40" t="n">
        <f aca="false">C20*Inputs!$B$4</f>
        <v>2866485.26077098</v>
      </c>
      <c r="E20" s="40" t="n">
        <f aca="false">D20*Inputs!$C$29</f>
        <v>859945.578231293</v>
      </c>
      <c r="F20" s="40" t="n">
        <f aca="false">E20-$B20</f>
        <v>464945.578231293</v>
      </c>
      <c r="G20" s="40" t="n">
        <f aca="false">G19+F20</f>
        <v>-3560380.95238095</v>
      </c>
      <c r="H20" s="45" t="n">
        <f aca="false">IF(F20&gt;=0,1,0)</f>
        <v>1</v>
      </c>
      <c r="I20" s="44" t="n">
        <f aca="false">IF(A20&lt;Inputs!$B$9+Inputs!$D$30,0,Inputs!$B$30*Inputs!$B$23*MIN(1,(A20-Inputs!$B$9-Inputs!$D$30+1)/(Inputs!$B$10-Inputs!$B$9+1)))</f>
        <v>45.6031746031746</v>
      </c>
      <c r="J20" s="40" t="n">
        <f aca="false">I20*Inputs!$B$4</f>
        <v>2006539.68253968</v>
      </c>
      <c r="K20" s="40" t="n">
        <f aca="false">J20*Inputs!$C$30</f>
        <v>601961.904761905</v>
      </c>
      <c r="L20" s="40" t="n">
        <f aca="false">K20-$B20</f>
        <v>206961.904761905</v>
      </c>
      <c r="M20" s="40" t="n">
        <f aca="false">M19+L20</f>
        <v>-5366266.66666667</v>
      </c>
      <c r="N20" s="45" t="n">
        <f aca="false">IF(L20&gt;=0,1,0)</f>
        <v>1</v>
      </c>
      <c r="O20" s="44" t="n">
        <f aca="false">IF(A20&lt;Inputs!$B$9+Inputs!$D$31,0,Inputs!$B$31*Inputs!$B$23*MIN(1,(A20-Inputs!$B$9-Inputs!$D$31+1)/(Inputs!$B$10-Inputs!$B$9+1)))</f>
        <v>22.0498866213152</v>
      </c>
      <c r="P20" s="40" t="n">
        <f aca="false">O20*Inputs!$B$4</f>
        <v>970195.011337869</v>
      </c>
      <c r="Q20" s="40" t="n">
        <f aca="false">P20*Inputs!$C$31</f>
        <v>242548.752834467</v>
      </c>
      <c r="R20" s="40" t="n">
        <f aca="false">Q20-$B20</f>
        <v>-152451.247165533</v>
      </c>
      <c r="S20" s="40" t="n">
        <f aca="false">S19+R20</f>
        <v>-8124707.4829932</v>
      </c>
      <c r="T20" s="45" t="n">
        <f aca="false">IF(R20&gt;=0,1,0)</f>
        <v>0</v>
      </c>
    </row>
    <row r="21" customFormat="false" ht="15" hidden="false" customHeight="true" outlineLevel="0" collapsed="false">
      <c r="A21" s="16" t="n">
        <v>17</v>
      </c>
      <c r="B21" s="46" t="n">
        <f aca="false">IF(A21&lt;=12,INDEX(Budget_8M!$C$44:$N$44,A21),Inputs!$B$24)</f>
        <v>395000</v>
      </c>
      <c r="C21" s="44" t="n">
        <f aca="false">IF(A21&lt;Inputs!$B$9+Inputs!$D$29,0,Inputs!$B$29*Inputs!$B$23*MIN(1,(A21-Inputs!$B$9-Inputs!$D$29+1)/(Inputs!$B$10-Inputs!$B$9+1)))</f>
        <v>70.1587301587302</v>
      </c>
      <c r="D21" s="40" t="n">
        <f aca="false">C21*Inputs!$B$4</f>
        <v>3086984.12698413</v>
      </c>
      <c r="E21" s="40" t="n">
        <f aca="false">D21*Inputs!$C$29</f>
        <v>926095.238095238</v>
      </c>
      <c r="F21" s="40" t="n">
        <f aca="false">E21-$B21</f>
        <v>531095.238095238</v>
      </c>
      <c r="G21" s="40" t="n">
        <f aca="false">G20+F21</f>
        <v>-3029285.71428571</v>
      </c>
      <c r="H21" s="45" t="n">
        <f aca="false">IF(F21&gt;=0,1,0)</f>
        <v>1</v>
      </c>
      <c r="I21" s="44" t="n">
        <f aca="false">IF(A21&lt;Inputs!$B$9+Inputs!$D$30,0,Inputs!$B$30*Inputs!$B$23*MIN(1,(A21-Inputs!$B$9-Inputs!$D$30+1)/(Inputs!$B$10-Inputs!$B$9+1)))</f>
        <v>49.1111111111111</v>
      </c>
      <c r="J21" s="40" t="n">
        <f aca="false">I21*Inputs!$B$4</f>
        <v>2160888.88888889</v>
      </c>
      <c r="K21" s="40" t="n">
        <f aca="false">J21*Inputs!$C$30</f>
        <v>648266.666666667</v>
      </c>
      <c r="L21" s="40" t="n">
        <f aca="false">K21-$B21</f>
        <v>253266.666666667</v>
      </c>
      <c r="M21" s="40" t="n">
        <f aca="false">M20+L21</f>
        <v>-5113000</v>
      </c>
      <c r="N21" s="45" t="n">
        <f aca="false">IF(L21&gt;=0,1,0)</f>
        <v>1</v>
      </c>
      <c r="O21" s="44" t="n">
        <f aca="false">IF(A21&lt;Inputs!$B$9+Inputs!$D$31,0,Inputs!$B$31*Inputs!$B$23*MIN(1,(A21-Inputs!$B$9-Inputs!$D$31+1)/(Inputs!$B$10-Inputs!$B$9+1)))</f>
        <v>24.0544217687075</v>
      </c>
      <c r="P21" s="40" t="n">
        <f aca="false">O21*Inputs!$B$4</f>
        <v>1058394.55782313</v>
      </c>
      <c r="Q21" s="40" t="n">
        <f aca="false">P21*Inputs!$C$31</f>
        <v>264598.639455782</v>
      </c>
      <c r="R21" s="40" t="n">
        <f aca="false">Q21-$B21</f>
        <v>-130401.360544218</v>
      </c>
      <c r="S21" s="40" t="n">
        <f aca="false">S20+R21</f>
        <v>-8255108.84353741</v>
      </c>
      <c r="T21" s="45" t="n">
        <f aca="false">IF(R21&gt;=0,1,0)</f>
        <v>0</v>
      </c>
    </row>
    <row r="22" customFormat="false" ht="15" hidden="false" customHeight="true" outlineLevel="0" collapsed="false">
      <c r="A22" s="16" t="n">
        <v>18</v>
      </c>
      <c r="B22" s="46" t="n">
        <f aca="false">IF(A22&lt;=12,INDEX(Budget_8M!$C$44:$N$44,A22),Inputs!$B$24)</f>
        <v>395000</v>
      </c>
      <c r="C22" s="44" t="n">
        <f aca="false">IF(A22&lt;Inputs!$B$9+Inputs!$D$29,0,Inputs!$B$29*Inputs!$B$23*MIN(1,(A22-Inputs!$B$9-Inputs!$D$29+1)/(Inputs!$B$10-Inputs!$B$9+1)))</f>
        <v>75.1700680272109</v>
      </c>
      <c r="D22" s="40" t="n">
        <f aca="false">C22*Inputs!$B$4</f>
        <v>3307482.99319728</v>
      </c>
      <c r="E22" s="40" t="n">
        <f aca="false">D22*Inputs!$C$29</f>
        <v>992244.897959184</v>
      </c>
      <c r="F22" s="40" t="n">
        <f aca="false">E22-$B22</f>
        <v>597244.897959184</v>
      </c>
      <c r="G22" s="40" t="n">
        <f aca="false">G21+F22</f>
        <v>-2432040.81632653</v>
      </c>
      <c r="H22" s="45" t="n">
        <f aca="false">IF(F22&gt;=0,1,0)</f>
        <v>1</v>
      </c>
      <c r="I22" s="44" t="n">
        <f aca="false">IF(A22&lt;Inputs!$B$9+Inputs!$D$30,0,Inputs!$B$30*Inputs!$B$23*MIN(1,(A22-Inputs!$B$9-Inputs!$D$30+1)/(Inputs!$B$10-Inputs!$B$9+1)))</f>
        <v>52.6190476190476</v>
      </c>
      <c r="J22" s="40" t="n">
        <f aca="false">I22*Inputs!$B$4</f>
        <v>2315238.0952381</v>
      </c>
      <c r="K22" s="40" t="n">
        <f aca="false">J22*Inputs!$C$30</f>
        <v>694571.428571429</v>
      </c>
      <c r="L22" s="40" t="n">
        <f aca="false">K22-$B22</f>
        <v>299571.428571429</v>
      </c>
      <c r="M22" s="40" t="n">
        <f aca="false">M21+L22</f>
        <v>-4813428.57142857</v>
      </c>
      <c r="N22" s="45" t="n">
        <f aca="false">IF(L22&gt;=0,1,0)</f>
        <v>1</v>
      </c>
      <c r="O22" s="44" t="n">
        <f aca="false">IF(A22&lt;Inputs!$B$9+Inputs!$D$31,0,Inputs!$B$31*Inputs!$B$23*MIN(1,(A22-Inputs!$B$9-Inputs!$D$31+1)/(Inputs!$B$10-Inputs!$B$9+1)))</f>
        <v>26.0589569160998</v>
      </c>
      <c r="P22" s="40" t="n">
        <f aca="false">O22*Inputs!$B$4</f>
        <v>1146594.10430839</v>
      </c>
      <c r="Q22" s="40" t="n">
        <f aca="false">P22*Inputs!$C$31</f>
        <v>286648.526077098</v>
      </c>
      <c r="R22" s="40" t="n">
        <f aca="false">Q22-$B22</f>
        <v>-108351.473922902</v>
      </c>
      <c r="S22" s="40" t="n">
        <f aca="false">S21+R22</f>
        <v>-8363460.31746032</v>
      </c>
      <c r="T22" s="45" t="n">
        <f aca="false">IF(R22&gt;=0,1,0)</f>
        <v>0</v>
      </c>
    </row>
    <row r="23" customFormat="false" ht="15" hidden="false" customHeight="true" outlineLevel="0" collapsed="false">
      <c r="A23" s="16" t="n">
        <v>19</v>
      </c>
      <c r="B23" s="46" t="n">
        <f aca="false">IF(A23&lt;=12,INDEX(Budget_8M!$C$44:$N$44,A23),Inputs!$B$24)</f>
        <v>395000</v>
      </c>
      <c r="C23" s="44" t="n">
        <f aca="false">IF(A23&lt;Inputs!$B$9+Inputs!$D$29,0,Inputs!$B$29*Inputs!$B$23*MIN(1,(A23-Inputs!$B$9-Inputs!$D$29+1)/(Inputs!$B$10-Inputs!$B$9+1)))</f>
        <v>80.1814058956916</v>
      </c>
      <c r="D23" s="40" t="n">
        <f aca="false">C23*Inputs!$B$4</f>
        <v>3527981.85941043</v>
      </c>
      <c r="E23" s="40" t="n">
        <f aca="false">D23*Inputs!$C$29</f>
        <v>1058394.55782313</v>
      </c>
      <c r="F23" s="40" t="n">
        <f aca="false">E23-$B23</f>
        <v>663394.557823129</v>
      </c>
      <c r="G23" s="40" t="n">
        <f aca="false">G22+F23</f>
        <v>-1768646.2585034</v>
      </c>
      <c r="H23" s="45" t="n">
        <f aca="false">IF(F23&gt;=0,1,0)</f>
        <v>1</v>
      </c>
      <c r="I23" s="44" t="n">
        <f aca="false">IF(A23&lt;Inputs!$B$9+Inputs!$D$30,0,Inputs!$B$30*Inputs!$B$23*MIN(1,(A23-Inputs!$B$9-Inputs!$D$30+1)/(Inputs!$B$10-Inputs!$B$9+1)))</f>
        <v>56.1269841269841</v>
      </c>
      <c r="J23" s="40" t="n">
        <f aca="false">I23*Inputs!$B$4</f>
        <v>2469587.3015873</v>
      </c>
      <c r="K23" s="40" t="n">
        <f aca="false">J23*Inputs!$C$30</f>
        <v>740876.19047619</v>
      </c>
      <c r="L23" s="40" t="n">
        <f aca="false">K23-$B23</f>
        <v>345876.19047619</v>
      </c>
      <c r="M23" s="40" t="n">
        <f aca="false">M22+L23</f>
        <v>-4467552.38095238</v>
      </c>
      <c r="N23" s="45" t="n">
        <f aca="false">IF(L23&gt;=0,1,0)</f>
        <v>1</v>
      </c>
      <c r="O23" s="44" t="n">
        <f aca="false">IF(A23&lt;Inputs!$B$9+Inputs!$D$31,0,Inputs!$B$31*Inputs!$B$23*MIN(1,(A23-Inputs!$B$9-Inputs!$D$31+1)/(Inputs!$B$10-Inputs!$B$9+1)))</f>
        <v>28.0634920634921</v>
      </c>
      <c r="P23" s="40" t="n">
        <f aca="false">O23*Inputs!$B$4</f>
        <v>1234793.65079365</v>
      </c>
      <c r="Q23" s="40" t="n">
        <f aca="false">P23*Inputs!$C$31</f>
        <v>308698.412698413</v>
      </c>
      <c r="R23" s="40" t="n">
        <f aca="false">Q23-$B23</f>
        <v>-86301.5873015873</v>
      </c>
      <c r="S23" s="40" t="n">
        <f aca="false">S22+R23</f>
        <v>-8449761.9047619</v>
      </c>
      <c r="T23" s="45" t="n">
        <f aca="false">IF(R23&gt;=0,1,0)</f>
        <v>0</v>
      </c>
    </row>
    <row r="24" customFormat="false" ht="15" hidden="false" customHeight="true" outlineLevel="0" collapsed="false">
      <c r="A24" s="16" t="n">
        <v>20</v>
      </c>
      <c r="B24" s="46" t="n">
        <f aca="false">IF(A24&lt;=12,INDEX(Budget_8M!$C$44:$N$44,A24),Inputs!$B$24)</f>
        <v>395000</v>
      </c>
      <c r="C24" s="44" t="n">
        <f aca="false">IF(A24&lt;Inputs!$B$9+Inputs!$D$29,0,Inputs!$B$29*Inputs!$B$23*MIN(1,(A24-Inputs!$B$9-Inputs!$D$29+1)/(Inputs!$B$10-Inputs!$B$9+1)))</f>
        <v>85.1927437641723</v>
      </c>
      <c r="D24" s="40" t="n">
        <f aca="false">C24*Inputs!$B$4</f>
        <v>3748480.72562358</v>
      </c>
      <c r="E24" s="40" t="n">
        <f aca="false">D24*Inputs!$C$29</f>
        <v>1124544.21768707</v>
      </c>
      <c r="F24" s="40" t="n">
        <f aca="false">E24-$B24</f>
        <v>729544.217687075</v>
      </c>
      <c r="G24" s="40" t="n">
        <f aca="false">G23+F24</f>
        <v>-1039102.04081633</v>
      </c>
      <c r="H24" s="45" t="n">
        <f aca="false">IF(F24&gt;=0,1,0)</f>
        <v>1</v>
      </c>
      <c r="I24" s="44" t="n">
        <f aca="false">IF(A24&lt;Inputs!$B$9+Inputs!$D$30,0,Inputs!$B$30*Inputs!$B$23*MIN(1,(A24-Inputs!$B$9-Inputs!$D$30+1)/(Inputs!$B$10-Inputs!$B$9+1)))</f>
        <v>59.6349206349206</v>
      </c>
      <c r="J24" s="40" t="n">
        <f aca="false">I24*Inputs!$B$4</f>
        <v>2623936.50793651</v>
      </c>
      <c r="K24" s="40" t="n">
        <f aca="false">J24*Inputs!$C$30</f>
        <v>787180.952380952</v>
      </c>
      <c r="L24" s="40" t="n">
        <f aca="false">K24-$B24</f>
        <v>392180.952380952</v>
      </c>
      <c r="M24" s="40" t="n">
        <f aca="false">M23+L24</f>
        <v>-4075371.42857143</v>
      </c>
      <c r="N24" s="45" t="n">
        <f aca="false">IF(L24&gt;=0,1,0)</f>
        <v>1</v>
      </c>
      <c r="O24" s="44" t="n">
        <f aca="false">IF(A24&lt;Inputs!$B$9+Inputs!$D$31,0,Inputs!$B$31*Inputs!$B$23*MIN(1,(A24-Inputs!$B$9-Inputs!$D$31+1)/(Inputs!$B$10-Inputs!$B$9+1)))</f>
        <v>30.0680272108844</v>
      </c>
      <c r="P24" s="40" t="n">
        <f aca="false">O24*Inputs!$B$4</f>
        <v>1322993.19727891</v>
      </c>
      <c r="Q24" s="40" t="n">
        <f aca="false">P24*Inputs!$C$31</f>
        <v>330748.299319728</v>
      </c>
      <c r="R24" s="40" t="n">
        <f aca="false">Q24-$B24</f>
        <v>-64251.7006802721</v>
      </c>
      <c r="S24" s="40" t="n">
        <f aca="false">S23+R24</f>
        <v>-8514013.60544218</v>
      </c>
      <c r="T24" s="45" t="n">
        <f aca="false">IF(R24&gt;=0,1,0)</f>
        <v>0</v>
      </c>
    </row>
    <row r="25" customFormat="false" ht="15" hidden="false" customHeight="true" outlineLevel="0" collapsed="false">
      <c r="A25" s="16" t="n">
        <v>21</v>
      </c>
      <c r="B25" s="46" t="n">
        <f aca="false">IF(A25&lt;=12,INDEX(Budget_8M!$C$44:$N$44,A25),Inputs!$B$24)</f>
        <v>395000</v>
      </c>
      <c r="C25" s="44" t="n">
        <f aca="false">IF(A25&lt;Inputs!$B$9+Inputs!$D$29,0,Inputs!$B$29*Inputs!$B$23*MIN(1,(A25-Inputs!$B$9-Inputs!$D$29+1)/(Inputs!$B$10-Inputs!$B$9+1)))</f>
        <v>90.2040816326531</v>
      </c>
      <c r="D25" s="40" t="n">
        <f aca="false">C25*Inputs!$B$4</f>
        <v>3968979.59183673</v>
      </c>
      <c r="E25" s="40" t="n">
        <f aca="false">D25*Inputs!$C$29</f>
        <v>1190693.87755102</v>
      </c>
      <c r="F25" s="40" t="n">
        <f aca="false">E25-$B25</f>
        <v>795693.87755102</v>
      </c>
      <c r="G25" s="40" t="n">
        <f aca="false">G24+F25</f>
        <v>-243408.163265306</v>
      </c>
      <c r="H25" s="45" t="n">
        <f aca="false">IF(F25&gt;=0,1,0)</f>
        <v>1</v>
      </c>
      <c r="I25" s="44" t="n">
        <f aca="false">IF(A25&lt;Inputs!$B$9+Inputs!$D$30,0,Inputs!$B$30*Inputs!$B$23*MIN(1,(A25-Inputs!$B$9-Inputs!$D$30+1)/(Inputs!$B$10-Inputs!$B$9+1)))</f>
        <v>63.1428571428571</v>
      </c>
      <c r="J25" s="40" t="n">
        <f aca="false">I25*Inputs!$B$4</f>
        <v>2778285.71428571</v>
      </c>
      <c r="K25" s="40" t="n">
        <f aca="false">J25*Inputs!$C$30</f>
        <v>833485.714285714</v>
      </c>
      <c r="L25" s="40" t="n">
        <f aca="false">K25-$B25</f>
        <v>438485.714285714</v>
      </c>
      <c r="M25" s="40" t="n">
        <f aca="false">M24+L25</f>
        <v>-3636885.71428572</v>
      </c>
      <c r="N25" s="45" t="n">
        <f aca="false">IF(L25&gt;=0,1,0)</f>
        <v>1</v>
      </c>
      <c r="O25" s="44" t="n">
        <f aca="false">IF(A25&lt;Inputs!$B$9+Inputs!$D$31,0,Inputs!$B$31*Inputs!$B$23*MIN(1,(A25-Inputs!$B$9-Inputs!$D$31+1)/(Inputs!$B$10-Inputs!$B$9+1)))</f>
        <v>32.0725623582767</v>
      </c>
      <c r="P25" s="40" t="n">
        <f aca="false">O25*Inputs!$B$4</f>
        <v>1411192.74376417</v>
      </c>
      <c r="Q25" s="40" t="n">
        <f aca="false">P25*Inputs!$C$31</f>
        <v>352798.185941043</v>
      </c>
      <c r="R25" s="40" t="n">
        <f aca="false">Q25-$B25</f>
        <v>-42201.8140589569</v>
      </c>
      <c r="S25" s="40" t="n">
        <f aca="false">S24+R25</f>
        <v>-8556215.41950113</v>
      </c>
      <c r="T25" s="45" t="n">
        <f aca="false">IF(R25&gt;=0,1,0)</f>
        <v>0</v>
      </c>
    </row>
    <row r="26" customFormat="false" ht="15" hidden="false" customHeight="true" outlineLevel="0" collapsed="false">
      <c r="A26" s="16" t="n">
        <v>22</v>
      </c>
      <c r="B26" s="46" t="n">
        <f aca="false">IF(A26&lt;=12,INDEX(Budget_8M!$C$44:$N$44,A26),Inputs!$B$24)</f>
        <v>395000</v>
      </c>
      <c r="C26" s="44" t="n">
        <f aca="false">IF(A26&lt;Inputs!$B$9+Inputs!$D$29,0,Inputs!$B$29*Inputs!$B$23*MIN(1,(A26-Inputs!$B$9-Inputs!$D$29+1)/(Inputs!$B$10-Inputs!$B$9+1)))</f>
        <v>95.2154195011338</v>
      </c>
      <c r="D26" s="40" t="n">
        <f aca="false">C26*Inputs!$B$4</f>
        <v>4189478.45804989</v>
      </c>
      <c r="E26" s="40" t="n">
        <f aca="false">D26*Inputs!$C$29</f>
        <v>1256843.53741497</v>
      </c>
      <c r="F26" s="40" t="n">
        <f aca="false">E26-$B26</f>
        <v>861843.537414966</v>
      </c>
      <c r="G26" s="40" t="n">
        <f aca="false">G25+F26</f>
        <v>618435.37414966</v>
      </c>
      <c r="H26" s="45" t="n">
        <f aca="false">IF(F26&gt;=0,1,0)</f>
        <v>1</v>
      </c>
      <c r="I26" s="44" t="n">
        <f aca="false">IF(A26&lt;Inputs!$B$9+Inputs!$D$30,0,Inputs!$B$30*Inputs!$B$23*MIN(1,(A26-Inputs!$B$9-Inputs!$D$30+1)/(Inputs!$B$10-Inputs!$B$9+1)))</f>
        <v>66.6507936507936</v>
      </c>
      <c r="J26" s="40" t="n">
        <f aca="false">I26*Inputs!$B$4</f>
        <v>2932634.92063492</v>
      </c>
      <c r="K26" s="40" t="n">
        <f aca="false">J26*Inputs!$C$30</f>
        <v>879790.476190476</v>
      </c>
      <c r="L26" s="40" t="n">
        <f aca="false">K26-$B26</f>
        <v>484790.476190476</v>
      </c>
      <c r="M26" s="40" t="n">
        <f aca="false">M25+L26</f>
        <v>-3152095.23809524</v>
      </c>
      <c r="N26" s="45" t="n">
        <f aca="false">IF(L26&gt;=0,1,0)</f>
        <v>1</v>
      </c>
      <c r="O26" s="44" t="n">
        <f aca="false">IF(A26&lt;Inputs!$B$9+Inputs!$D$31,0,Inputs!$B$31*Inputs!$B$23*MIN(1,(A26-Inputs!$B$9-Inputs!$D$31+1)/(Inputs!$B$10-Inputs!$B$9+1)))</f>
        <v>34.0770975056689</v>
      </c>
      <c r="P26" s="40" t="n">
        <f aca="false">O26*Inputs!$B$4</f>
        <v>1499392.29024943</v>
      </c>
      <c r="Q26" s="40" t="n">
        <f aca="false">P26*Inputs!$C$31</f>
        <v>374848.072562358</v>
      </c>
      <c r="R26" s="40" t="n">
        <f aca="false">Q26-$B26</f>
        <v>-20151.9274376417</v>
      </c>
      <c r="S26" s="40" t="n">
        <f aca="false">S25+R26</f>
        <v>-8576367.34693877</v>
      </c>
      <c r="T26" s="45" t="n">
        <f aca="false">IF(R26&gt;=0,1,0)</f>
        <v>0</v>
      </c>
    </row>
    <row r="27" customFormat="false" ht="15" hidden="false" customHeight="true" outlineLevel="0" collapsed="false">
      <c r="A27" s="16" t="n">
        <v>23</v>
      </c>
      <c r="B27" s="46" t="n">
        <f aca="false">IF(A27&lt;=12,INDEX(Budget_8M!$C$44:$N$44,A27),Inputs!$B$24)</f>
        <v>395000</v>
      </c>
      <c r="C27" s="44" t="n">
        <f aca="false">IF(A27&lt;Inputs!$B$9+Inputs!$D$29,0,Inputs!$B$29*Inputs!$B$23*MIN(1,(A27-Inputs!$B$9-Inputs!$D$29+1)/(Inputs!$B$10-Inputs!$B$9+1)))</f>
        <v>100.226757369615</v>
      </c>
      <c r="D27" s="40" t="n">
        <f aca="false">C27*Inputs!$B$4</f>
        <v>4409977.32426304</v>
      </c>
      <c r="E27" s="40" t="n">
        <f aca="false">D27*Inputs!$C$29</f>
        <v>1322993.19727891</v>
      </c>
      <c r="F27" s="40" t="n">
        <f aca="false">E27-$B27</f>
        <v>927993.197278912</v>
      </c>
      <c r="G27" s="40" t="n">
        <f aca="false">G26+F27</f>
        <v>1546428.57142857</v>
      </c>
      <c r="H27" s="45" t="n">
        <f aca="false">IF(F27&gt;=0,1,0)</f>
        <v>1</v>
      </c>
      <c r="I27" s="44" t="n">
        <f aca="false">IF(A27&lt;Inputs!$B$9+Inputs!$D$30,0,Inputs!$B$30*Inputs!$B$23*MIN(1,(A27-Inputs!$B$9-Inputs!$D$30+1)/(Inputs!$B$10-Inputs!$B$9+1)))</f>
        <v>70.1587301587302</v>
      </c>
      <c r="J27" s="40" t="n">
        <f aca="false">I27*Inputs!$B$4</f>
        <v>3086984.12698413</v>
      </c>
      <c r="K27" s="40" t="n">
        <f aca="false">J27*Inputs!$C$30</f>
        <v>926095.238095238</v>
      </c>
      <c r="L27" s="40" t="n">
        <f aca="false">K27-$B27</f>
        <v>531095.238095238</v>
      </c>
      <c r="M27" s="40" t="n">
        <f aca="false">M26+L27</f>
        <v>-2621000</v>
      </c>
      <c r="N27" s="45" t="n">
        <f aca="false">IF(L27&gt;=0,1,0)</f>
        <v>1</v>
      </c>
      <c r="O27" s="44" t="n">
        <f aca="false">IF(A27&lt;Inputs!$B$9+Inputs!$D$31,0,Inputs!$B$31*Inputs!$B$23*MIN(1,(A27-Inputs!$B$9-Inputs!$D$31+1)/(Inputs!$B$10-Inputs!$B$9+1)))</f>
        <v>36.0816326530612</v>
      </c>
      <c r="P27" s="40" t="n">
        <f aca="false">O27*Inputs!$B$4</f>
        <v>1587591.83673469</v>
      </c>
      <c r="Q27" s="40" t="n">
        <f aca="false">P27*Inputs!$C$31</f>
        <v>396897.959183674</v>
      </c>
      <c r="R27" s="40" t="n">
        <f aca="false">Q27-$B27</f>
        <v>1897.95918367349</v>
      </c>
      <c r="S27" s="40" t="n">
        <f aca="false">S26+R27</f>
        <v>-8574469.3877551</v>
      </c>
      <c r="T27" s="45" t="n">
        <f aca="false">IF(R27&gt;=0,1,0)</f>
        <v>1</v>
      </c>
    </row>
    <row r="28" customFormat="false" ht="15" hidden="false" customHeight="true" outlineLevel="0" collapsed="false">
      <c r="A28" s="16" t="n">
        <v>24</v>
      </c>
      <c r="B28" s="46" t="n">
        <f aca="false">IF(A28&lt;=12,INDEX(Budget_8M!$C$44:$N$44,A28),Inputs!$B$24)</f>
        <v>395000</v>
      </c>
      <c r="C28" s="44" t="n">
        <f aca="false">IF(A28&lt;Inputs!$B$9+Inputs!$D$29,0,Inputs!$B$29*Inputs!$B$23*MIN(1,(A28-Inputs!$B$9-Inputs!$D$29+1)/(Inputs!$B$10-Inputs!$B$9+1)))</f>
        <v>105.238095238095</v>
      </c>
      <c r="D28" s="40" t="n">
        <f aca="false">C28*Inputs!$B$4</f>
        <v>4630476.19047619</v>
      </c>
      <c r="E28" s="40" t="n">
        <f aca="false">D28*Inputs!$C$29</f>
        <v>1389142.85714286</v>
      </c>
      <c r="F28" s="40" t="n">
        <f aca="false">E28-$B28</f>
        <v>994142.857142857</v>
      </c>
      <c r="G28" s="40" t="n">
        <f aca="false">G27+F28</f>
        <v>2540571.42857143</v>
      </c>
      <c r="H28" s="45" t="n">
        <f aca="false">IF(F28&gt;=0,1,0)</f>
        <v>1</v>
      </c>
      <c r="I28" s="44" t="n">
        <f aca="false">IF(A28&lt;Inputs!$B$9+Inputs!$D$30,0,Inputs!$B$30*Inputs!$B$23*MIN(1,(A28-Inputs!$B$9-Inputs!$D$30+1)/(Inputs!$B$10-Inputs!$B$9+1)))</f>
        <v>73.6666666666667</v>
      </c>
      <c r="J28" s="40" t="n">
        <f aca="false">I28*Inputs!$B$4</f>
        <v>3241333.33333333</v>
      </c>
      <c r="K28" s="40" t="n">
        <f aca="false">J28*Inputs!$C$30</f>
        <v>972400</v>
      </c>
      <c r="L28" s="40" t="n">
        <f aca="false">K28-$B28</f>
        <v>577400</v>
      </c>
      <c r="M28" s="40" t="n">
        <f aca="false">M27+L28</f>
        <v>-2043600</v>
      </c>
      <c r="N28" s="45" t="n">
        <f aca="false">IF(L28&gt;=0,1,0)</f>
        <v>1</v>
      </c>
      <c r="O28" s="44" t="n">
        <f aca="false">IF(A28&lt;Inputs!$B$9+Inputs!$D$31,0,Inputs!$B$31*Inputs!$B$23*MIN(1,(A28-Inputs!$B$9-Inputs!$D$31+1)/(Inputs!$B$10-Inputs!$B$9+1)))</f>
        <v>38.0861678004535</v>
      </c>
      <c r="P28" s="40" t="n">
        <f aca="false">O28*Inputs!$B$4</f>
        <v>1675791.38321996</v>
      </c>
      <c r="Q28" s="40" t="n">
        <f aca="false">P28*Inputs!$C$31</f>
        <v>418947.845804989</v>
      </c>
      <c r="R28" s="40" t="n">
        <f aca="false">Q28-$B28</f>
        <v>23947.8458049888</v>
      </c>
      <c r="S28" s="40" t="n">
        <f aca="false">S27+R28</f>
        <v>-8550521.54195011</v>
      </c>
      <c r="T28" s="45" t="n">
        <f aca="false">IF(R28&gt;=0,1,0)</f>
        <v>1</v>
      </c>
    </row>
    <row r="29" customFormat="false" ht="15" hidden="false" customHeight="true" outlineLevel="0" collapsed="false">
      <c r="A29" s="16" t="n">
        <v>25</v>
      </c>
      <c r="B29" s="46" t="n">
        <f aca="false">IF(A29&lt;=12,INDEX(Budget_8M!$C$44:$N$44,A29),Inputs!$B$24)</f>
        <v>395000</v>
      </c>
      <c r="C29" s="44" t="n">
        <f aca="false">IF(A29&lt;Inputs!$B$9+Inputs!$D$29,0,Inputs!$B$29*Inputs!$B$23*MIN(1,(A29-Inputs!$B$9-Inputs!$D$29+1)/(Inputs!$B$10-Inputs!$B$9+1)))</f>
        <v>105.238095238095</v>
      </c>
      <c r="D29" s="40" t="n">
        <f aca="false">C29*Inputs!$B$4</f>
        <v>4630476.19047619</v>
      </c>
      <c r="E29" s="40" t="n">
        <f aca="false">D29*Inputs!$C$29</f>
        <v>1389142.85714286</v>
      </c>
      <c r="F29" s="40" t="n">
        <f aca="false">E29-$B29</f>
        <v>994142.857142857</v>
      </c>
      <c r="G29" s="40" t="n">
        <f aca="false">G28+F29</f>
        <v>3534714.28571429</v>
      </c>
      <c r="H29" s="45" t="n">
        <f aca="false">IF(F29&gt;=0,1,0)</f>
        <v>1</v>
      </c>
      <c r="I29" s="44" t="n">
        <f aca="false">IF(A29&lt;Inputs!$B$9+Inputs!$D$30,0,Inputs!$B$30*Inputs!$B$23*MIN(1,(A29-Inputs!$B$9-Inputs!$D$30+1)/(Inputs!$B$10-Inputs!$B$9+1)))</f>
        <v>73.6666666666667</v>
      </c>
      <c r="J29" s="40" t="n">
        <f aca="false">I29*Inputs!$B$4</f>
        <v>3241333.33333333</v>
      </c>
      <c r="K29" s="40" t="n">
        <f aca="false">J29*Inputs!$C$30</f>
        <v>972400</v>
      </c>
      <c r="L29" s="40" t="n">
        <f aca="false">K29-$B29</f>
        <v>577400</v>
      </c>
      <c r="M29" s="40" t="n">
        <f aca="false">M28+L29</f>
        <v>-1466200</v>
      </c>
      <c r="N29" s="45" t="n">
        <f aca="false">IF(L29&gt;=0,1,0)</f>
        <v>1</v>
      </c>
      <c r="O29" s="44" t="n">
        <f aca="false">IF(A29&lt;Inputs!$B$9+Inputs!$D$31,0,Inputs!$B$31*Inputs!$B$23*MIN(1,(A29-Inputs!$B$9-Inputs!$D$31+1)/(Inputs!$B$10-Inputs!$B$9+1)))</f>
        <v>40.0907029478458</v>
      </c>
      <c r="P29" s="40" t="n">
        <f aca="false">O29*Inputs!$B$4</f>
        <v>1763990.92970522</v>
      </c>
      <c r="Q29" s="40" t="n">
        <f aca="false">P29*Inputs!$C$31</f>
        <v>440997.732426304</v>
      </c>
      <c r="R29" s="40" t="n">
        <f aca="false">Q29-$B29</f>
        <v>45997.7324263038</v>
      </c>
      <c r="S29" s="40" t="n">
        <f aca="false">S28+R29</f>
        <v>-8504523.80952381</v>
      </c>
      <c r="T29" s="45" t="n">
        <f aca="false">IF(R29&gt;=0,1,0)</f>
        <v>1</v>
      </c>
    </row>
    <row r="30" customFormat="false" ht="15" hidden="false" customHeight="true" outlineLevel="0" collapsed="false">
      <c r="A30" s="16" t="n">
        <v>26</v>
      </c>
      <c r="B30" s="46" t="n">
        <f aca="false">IF(A30&lt;=12,INDEX(Budget_8M!$C$44:$N$44,A30),Inputs!$B$24)</f>
        <v>395000</v>
      </c>
      <c r="C30" s="44" t="n">
        <f aca="false">IF(A30&lt;Inputs!$B$9+Inputs!$D$29,0,Inputs!$B$29*Inputs!$B$23*MIN(1,(A30-Inputs!$B$9-Inputs!$D$29+1)/(Inputs!$B$10-Inputs!$B$9+1)))</f>
        <v>105.238095238095</v>
      </c>
      <c r="D30" s="40" t="n">
        <f aca="false">C30*Inputs!$B$4</f>
        <v>4630476.19047619</v>
      </c>
      <c r="E30" s="40" t="n">
        <f aca="false">D30*Inputs!$C$29</f>
        <v>1389142.85714286</v>
      </c>
      <c r="F30" s="40" t="n">
        <f aca="false">E30-$B30</f>
        <v>994142.857142857</v>
      </c>
      <c r="G30" s="40" t="n">
        <f aca="false">G29+F30</f>
        <v>4528857.14285714</v>
      </c>
      <c r="H30" s="45" t="n">
        <f aca="false">IF(F30&gt;=0,1,0)</f>
        <v>1</v>
      </c>
      <c r="I30" s="44" t="n">
        <f aca="false">IF(A30&lt;Inputs!$B$9+Inputs!$D$30,0,Inputs!$B$30*Inputs!$B$23*MIN(1,(A30-Inputs!$B$9-Inputs!$D$30+1)/(Inputs!$B$10-Inputs!$B$9+1)))</f>
        <v>73.6666666666667</v>
      </c>
      <c r="J30" s="40" t="n">
        <f aca="false">I30*Inputs!$B$4</f>
        <v>3241333.33333333</v>
      </c>
      <c r="K30" s="40" t="n">
        <f aca="false">J30*Inputs!$C$30</f>
        <v>972400</v>
      </c>
      <c r="L30" s="40" t="n">
        <f aca="false">K30-$B30</f>
        <v>577400</v>
      </c>
      <c r="M30" s="40" t="n">
        <f aca="false">M29+L30</f>
        <v>-888800.000000003</v>
      </c>
      <c r="N30" s="45" t="n">
        <f aca="false">IF(L30&gt;=0,1,0)</f>
        <v>1</v>
      </c>
      <c r="O30" s="44" t="n">
        <f aca="false">IF(A30&lt;Inputs!$B$9+Inputs!$D$31,0,Inputs!$B$31*Inputs!$B$23*MIN(1,(A30-Inputs!$B$9-Inputs!$D$31+1)/(Inputs!$B$10-Inputs!$B$9+1)))</f>
        <v>42.0952380952381</v>
      </c>
      <c r="P30" s="40" t="n">
        <f aca="false">O30*Inputs!$B$4</f>
        <v>1852190.47619048</v>
      </c>
      <c r="Q30" s="40" t="n">
        <f aca="false">P30*Inputs!$C$31</f>
        <v>463047.619047619</v>
      </c>
      <c r="R30" s="40" t="n">
        <f aca="false">Q30-$B30</f>
        <v>68047.6190476191</v>
      </c>
      <c r="S30" s="40" t="n">
        <f aca="false">S29+R30</f>
        <v>-8436476.19047619</v>
      </c>
      <c r="T30" s="45" t="n">
        <f aca="false">IF(R30&gt;=0,1,0)</f>
        <v>1</v>
      </c>
    </row>
    <row r="31" customFormat="false" ht="15" hidden="false" customHeight="true" outlineLevel="0" collapsed="false">
      <c r="A31" s="16" t="n">
        <v>27</v>
      </c>
      <c r="B31" s="46" t="n">
        <f aca="false">IF(A31&lt;=12,INDEX(Budget_8M!$C$44:$N$44,A31),Inputs!$B$24)</f>
        <v>395000</v>
      </c>
      <c r="C31" s="44" t="n">
        <f aca="false">IF(A31&lt;Inputs!$B$9+Inputs!$D$29,0,Inputs!$B$29*Inputs!$B$23*MIN(1,(A31-Inputs!$B$9-Inputs!$D$29+1)/(Inputs!$B$10-Inputs!$B$9+1)))</f>
        <v>105.238095238095</v>
      </c>
      <c r="D31" s="40" t="n">
        <f aca="false">C31*Inputs!$B$4</f>
        <v>4630476.19047619</v>
      </c>
      <c r="E31" s="40" t="n">
        <f aca="false">D31*Inputs!$C$29</f>
        <v>1389142.85714286</v>
      </c>
      <c r="F31" s="40" t="n">
        <f aca="false">E31-$B31</f>
        <v>994142.857142857</v>
      </c>
      <c r="G31" s="40" t="n">
        <f aca="false">G30+F31</f>
        <v>5523000</v>
      </c>
      <c r="H31" s="45" t="n">
        <f aca="false">IF(F31&gt;=0,1,0)</f>
        <v>1</v>
      </c>
      <c r="I31" s="44" t="n">
        <f aca="false">IF(A31&lt;Inputs!$B$9+Inputs!$D$30,0,Inputs!$B$30*Inputs!$B$23*MIN(1,(A31-Inputs!$B$9-Inputs!$D$30+1)/(Inputs!$B$10-Inputs!$B$9+1)))</f>
        <v>73.6666666666667</v>
      </c>
      <c r="J31" s="40" t="n">
        <f aca="false">I31*Inputs!$B$4</f>
        <v>3241333.33333333</v>
      </c>
      <c r="K31" s="40" t="n">
        <f aca="false">J31*Inputs!$C$30</f>
        <v>972400</v>
      </c>
      <c r="L31" s="40" t="n">
        <f aca="false">K31-$B31</f>
        <v>577400</v>
      </c>
      <c r="M31" s="40" t="n">
        <f aca="false">M30+L31</f>
        <v>-311400.000000003</v>
      </c>
      <c r="N31" s="45" t="n">
        <f aca="false">IF(L31&gt;=0,1,0)</f>
        <v>1</v>
      </c>
      <c r="O31" s="44" t="n">
        <f aca="false">IF(A31&lt;Inputs!$B$9+Inputs!$D$31,0,Inputs!$B$31*Inputs!$B$23*MIN(1,(A31-Inputs!$B$9-Inputs!$D$31+1)/(Inputs!$B$10-Inputs!$B$9+1)))</f>
        <v>42.0952380952381</v>
      </c>
      <c r="P31" s="40" t="n">
        <f aca="false">O31*Inputs!$B$4</f>
        <v>1852190.47619048</v>
      </c>
      <c r="Q31" s="40" t="n">
        <f aca="false">P31*Inputs!$C$31</f>
        <v>463047.619047619</v>
      </c>
      <c r="R31" s="40" t="n">
        <f aca="false">Q31-$B31</f>
        <v>68047.6190476191</v>
      </c>
      <c r="S31" s="40" t="n">
        <f aca="false">S30+R31</f>
        <v>-8368428.57142857</v>
      </c>
      <c r="T31" s="45" t="n">
        <f aca="false">IF(R31&gt;=0,1,0)</f>
        <v>1</v>
      </c>
    </row>
    <row r="32" customFormat="false" ht="15" hidden="false" customHeight="true" outlineLevel="0" collapsed="false">
      <c r="A32" s="16" t="n">
        <v>28</v>
      </c>
      <c r="B32" s="46" t="n">
        <f aca="false">IF(A32&lt;=12,INDEX(Budget_8M!$C$44:$N$44,A32),Inputs!$B$24)</f>
        <v>395000</v>
      </c>
      <c r="C32" s="44" t="n">
        <f aca="false">IF(A32&lt;Inputs!$B$9+Inputs!$D$29,0,Inputs!$B$29*Inputs!$B$23*MIN(1,(A32-Inputs!$B$9-Inputs!$D$29+1)/(Inputs!$B$10-Inputs!$B$9+1)))</f>
        <v>105.238095238095</v>
      </c>
      <c r="D32" s="40" t="n">
        <f aca="false">C32*Inputs!$B$4</f>
        <v>4630476.19047619</v>
      </c>
      <c r="E32" s="40" t="n">
        <f aca="false">D32*Inputs!$C$29</f>
        <v>1389142.85714286</v>
      </c>
      <c r="F32" s="40" t="n">
        <f aca="false">E32-$B32</f>
        <v>994142.857142857</v>
      </c>
      <c r="G32" s="40" t="n">
        <f aca="false">G31+F32</f>
        <v>6517142.85714286</v>
      </c>
      <c r="H32" s="45" t="n">
        <f aca="false">IF(F32&gt;=0,1,0)</f>
        <v>1</v>
      </c>
      <c r="I32" s="44" t="n">
        <f aca="false">IF(A32&lt;Inputs!$B$9+Inputs!$D$30,0,Inputs!$B$30*Inputs!$B$23*MIN(1,(A32-Inputs!$B$9-Inputs!$D$30+1)/(Inputs!$B$10-Inputs!$B$9+1)))</f>
        <v>73.6666666666667</v>
      </c>
      <c r="J32" s="40" t="n">
        <f aca="false">I32*Inputs!$B$4</f>
        <v>3241333.33333333</v>
      </c>
      <c r="K32" s="40" t="n">
        <f aca="false">J32*Inputs!$C$30</f>
        <v>972400</v>
      </c>
      <c r="L32" s="40" t="n">
        <f aca="false">K32-$B32</f>
        <v>577400</v>
      </c>
      <c r="M32" s="40" t="n">
        <f aca="false">M31+L32</f>
        <v>265999.999999997</v>
      </c>
      <c r="N32" s="45" t="n">
        <f aca="false">IF(L32&gt;=0,1,0)</f>
        <v>1</v>
      </c>
      <c r="O32" s="44" t="n">
        <f aca="false">IF(A32&lt;Inputs!$B$9+Inputs!$D$31,0,Inputs!$B$31*Inputs!$B$23*MIN(1,(A32-Inputs!$B$9-Inputs!$D$31+1)/(Inputs!$B$10-Inputs!$B$9+1)))</f>
        <v>42.0952380952381</v>
      </c>
      <c r="P32" s="40" t="n">
        <f aca="false">O32*Inputs!$B$4</f>
        <v>1852190.47619048</v>
      </c>
      <c r="Q32" s="40" t="n">
        <f aca="false">P32*Inputs!$C$31</f>
        <v>463047.619047619</v>
      </c>
      <c r="R32" s="40" t="n">
        <f aca="false">Q32-$B32</f>
        <v>68047.6190476191</v>
      </c>
      <c r="S32" s="40" t="n">
        <f aca="false">S31+R32</f>
        <v>-8300380.95238095</v>
      </c>
      <c r="T32" s="45" t="n">
        <f aca="false">IF(R32&gt;=0,1,0)</f>
        <v>1</v>
      </c>
    </row>
    <row r="33" customFormat="false" ht="15" hidden="false" customHeight="true" outlineLevel="0" collapsed="false">
      <c r="A33" s="16" t="n">
        <v>29</v>
      </c>
      <c r="B33" s="46" t="n">
        <f aca="false">IF(A33&lt;=12,INDEX(Budget_8M!$C$44:$N$44,A33),Inputs!$B$24)</f>
        <v>395000</v>
      </c>
      <c r="C33" s="44" t="n">
        <f aca="false">IF(A33&lt;Inputs!$B$9+Inputs!$D$29,0,Inputs!$B$29*Inputs!$B$23*MIN(1,(A33-Inputs!$B$9-Inputs!$D$29+1)/(Inputs!$B$10-Inputs!$B$9+1)))</f>
        <v>105.238095238095</v>
      </c>
      <c r="D33" s="40" t="n">
        <f aca="false">C33*Inputs!$B$4</f>
        <v>4630476.19047619</v>
      </c>
      <c r="E33" s="40" t="n">
        <f aca="false">D33*Inputs!$C$29</f>
        <v>1389142.85714286</v>
      </c>
      <c r="F33" s="40" t="n">
        <f aca="false">E33-$B33</f>
        <v>994142.857142857</v>
      </c>
      <c r="G33" s="40" t="n">
        <f aca="false">G32+F33</f>
        <v>7511285.71428572</v>
      </c>
      <c r="H33" s="45" t="n">
        <f aca="false">IF(F33&gt;=0,1,0)</f>
        <v>1</v>
      </c>
      <c r="I33" s="44" t="n">
        <f aca="false">IF(A33&lt;Inputs!$B$9+Inputs!$D$30,0,Inputs!$B$30*Inputs!$B$23*MIN(1,(A33-Inputs!$B$9-Inputs!$D$30+1)/(Inputs!$B$10-Inputs!$B$9+1)))</f>
        <v>73.6666666666667</v>
      </c>
      <c r="J33" s="40" t="n">
        <f aca="false">I33*Inputs!$B$4</f>
        <v>3241333.33333333</v>
      </c>
      <c r="K33" s="40" t="n">
        <f aca="false">J33*Inputs!$C$30</f>
        <v>972400</v>
      </c>
      <c r="L33" s="40" t="n">
        <f aca="false">K33-$B33</f>
        <v>577400</v>
      </c>
      <c r="M33" s="40" t="n">
        <f aca="false">M32+L33</f>
        <v>843399.999999997</v>
      </c>
      <c r="N33" s="45" t="n">
        <f aca="false">IF(L33&gt;=0,1,0)</f>
        <v>1</v>
      </c>
      <c r="O33" s="44" t="n">
        <f aca="false">IF(A33&lt;Inputs!$B$9+Inputs!$D$31,0,Inputs!$B$31*Inputs!$B$23*MIN(1,(A33-Inputs!$B$9-Inputs!$D$31+1)/(Inputs!$B$10-Inputs!$B$9+1)))</f>
        <v>42.0952380952381</v>
      </c>
      <c r="P33" s="40" t="n">
        <f aca="false">O33*Inputs!$B$4</f>
        <v>1852190.47619048</v>
      </c>
      <c r="Q33" s="40" t="n">
        <f aca="false">P33*Inputs!$C$31</f>
        <v>463047.619047619</v>
      </c>
      <c r="R33" s="40" t="n">
        <f aca="false">Q33-$B33</f>
        <v>68047.6190476191</v>
      </c>
      <c r="S33" s="40" t="n">
        <f aca="false">S32+R33</f>
        <v>-8232333.33333333</v>
      </c>
      <c r="T33" s="45" t="n">
        <f aca="false">IF(R33&gt;=0,1,0)</f>
        <v>1</v>
      </c>
    </row>
    <row r="34" customFormat="false" ht="15" hidden="false" customHeight="true" outlineLevel="0" collapsed="false">
      <c r="A34" s="16" t="n">
        <v>30</v>
      </c>
      <c r="B34" s="46" t="n">
        <f aca="false">IF(A34&lt;=12,INDEX(Budget_8M!$C$44:$N$44,A34),Inputs!$B$24)</f>
        <v>395000</v>
      </c>
      <c r="C34" s="44" t="n">
        <f aca="false">IF(A34&lt;Inputs!$B$9+Inputs!$D$29,0,Inputs!$B$29*Inputs!$B$23*MIN(1,(A34-Inputs!$B$9-Inputs!$D$29+1)/(Inputs!$B$10-Inputs!$B$9+1)))</f>
        <v>105.238095238095</v>
      </c>
      <c r="D34" s="40" t="n">
        <f aca="false">C34*Inputs!$B$4</f>
        <v>4630476.19047619</v>
      </c>
      <c r="E34" s="40" t="n">
        <f aca="false">D34*Inputs!$C$29</f>
        <v>1389142.85714286</v>
      </c>
      <c r="F34" s="40" t="n">
        <f aca="false">E34-$B34</f>
        <v>994142.857142857</v>
      </c>
      <c r="G34" s="40" t="n">
        <f aca="false">G33+F34</f>
        <v>8505428.57142857</v>
      </c>
      <c r="H34" s="45" t="n">
        <f aca="false">IF(F34&gt;=0,1,0)</f>
        <v>1</v>
      </c>
      <c r="I34" s="44" t="n">
        <f aca="false">IF(A34&lt;Inputs!$B$9+Inputs!$D$30,0,Inputs!$B$30*Inputs!$B$23*MIN(1,(A34-Inputs!$B$9-Inputs!$D$30+1)/(Inputs!$B$10-Inputs!$B$9+1)))</f>
        <v>73.6666666666667</v>
      </c>
      <c r="J34" s="40" t="n">
        <f aca="false">I34*Inputs!$B$4</f>
        <v>3241333.33333333</v>
      </c>
      <c r="K34" s="40" t="n">
        <f aca="false">J34*Inputs!$C$30</f>
        <v>972400</v>
      </c>
      <c r="L34" s="40" t="n">
        <f aca="false">K34-$B34</f>
        <v>577400</v>
      </c>
      <c r="M34" s="40" t="n">
        <f aca="false">M33+L34</f>
        <v>1420800</v>
      </c>
      <c r="N34" s="45" t="n">
        <f aca="false">IF(L34&gt;=0,1,0)</f>
        <v>1</v>
      </c>
      <c r="O34" s="44" t="n">
        <f aca="false">IF(A34&lt;Inputs!$B$9+Inputs!$D$31,0,Inputs!$B$31*Inputs!$B$23*MIN(1,(A34-Inputs!$B$9-Inputs!$D$31+1)/(Inputs!$B$10-Inputs!$B$9+1)))</f>
        <v>42.0952380952381</v>
      </c>
      <c r="P34" s="40" t="n">
        <f aca="false">O34*Inputs!$B$4</f>
        <v>1852190.47619048</v>
      </c>
      <c r="Q34" s="40" t="n">
        <f aca="false">P34*Inputs!$C$31</f>
        <v>463047.619047619</v>
      </c>
      <c r="R34" s="40" t="n">
        <f aca="false">Q34-$B34</f>
        <v>68047.6190476191</v>
      </c>
      <c r="S34" s="40" t="n">
        <f aca="false">S33+R34</f>
        <v>-8164285.71428571</v>
      </c>
      <c r="T34" s="45" t="n">
        <f aca="false">IF(R34&gt;=0,1,0)</f>
        <v>1</v>
      </c>
    </row>
    <row r="35" customFormat="false" ht="15" hidden="false" customHeight="true" outlineLevel="0" collapsed="false">
      <c r="A35" s="16" t="n">
        <v>31</v>
      </c>
      <c r="B35" s="46" t="n">
        <f aca="false">IF(A35&lt;=12,INDEX(Budget_8M!$C$44:$N$44,A35),Inputs!$B$24)</f>
        <v>395000</v>
      </c>
      <c r="C35" s="44" t="n">
        <f aca="false">IF(A35&lt;Inputs!$B$9+Inputs!$D$29,0,Inputs!$B$29*Inputs!$B$23*MIN(1,(A35-Inputs!$B$9-Inputs!$D$29+1)/(Inputs!$B$10-Inputs!$B$9+1)))</f>
        <v>105.238095238095</v>
      </c>
      <c r="D35" s="40" t="n">
        <f aca="false">C35*Inputs!$B$4</f>
        <v>4630476.19047619</v>
      </c>
      <c r="E35" s="40" t="n">
        <f aca="false">D35*Inputs!$C$29</f>
        <v>1389142.85714286</v>
      </c>
      <c r="F35" s="40" t="n">
        <f aca="false">E35-$B35</f>
        <v>994142.857142857</v>
      </c>
      <c r="G35" s="40" t="n">
        <f aca="false">G34+F35</f>
        <v>9499571.42857143</v>
      </c>
      <c r="H35" s="45" t="n">
        <f aca="false">IF(F35&gt;=0,1,0)</f>
        <v>1</v>
      </c>
      <c r="I35" s="44" t="n">
        <f aca="false">IF(A35&lt;Inputs!$B$9+Inputs!$D$30,0,Inputs!$B$30*Inputs!$B$23*MIN(1,(A35-Inputs!$B$9-Inputs!$D$30+1)/(Inputs!$B$10-Inputs!$B$9+1)))</f>
        <v>73.6666666666667</v>
      </c>
      <c r="J35" s="40" t="n">
        <f aca="false">I35*Inputs!$B$4</f>
        <v>3241333.33333333</v>
      </c>
      <c r="K35" s="40" t="n">
        <f aca="false">J35*Inputs!$C$30</f>
        <v>972400</v>
      </c>
      <c r="L35" s="40" t="n">
        <f aca="false">K35-$B35</f>
        <v>577400</v>
      </c>
      <c r="M35" s="40" t="n">
        <f aca="false">M34+L35</f>
        <v>1998200</v>
      </c>
      <c r="N35" s="45" t="n">
        <f aca="false">IF(L35&gt;=0,1,0)</f>
        <v>1</v>
      </c>
      <c r="O35" s="44" t="n">
        <f aca="false">IF(A35&lt;Inputs!$B$9+Inputs!$D$31,0,Inputs!$B$31*Inputs!$B$23*MIN(1,(A35-Inputs!$B$9-Inputs!$D$31+1)/(Inputs!$B$10-Inputs!$B$9+1)))</f>
        <v>42.0952380952381</v>
      </c>
      <c r="P35" s="40" t="n">
        <f aca="false">O35*Inputs!$B$4</f>
        <v>1852190.47619048</v>
      </c>
      <c r="Q35" s="40" t="n">
        <f aca="false">P35*Inputs!$C$31</f>
        <v>463047.619047619</v>
      </c>
      <c r="R35" s="40" t="n">
        <f aca="false">Q35-$B35</f>
        <v>68047.6190476191</v>
      </c>
      <c r="S35" s="40" t="n">
        <f aca="false">S34+R35</f>
        <v>-8096238.09523809</v>
      </c>
      <c r="T35" s="45" t="n">
        <f aca="false">IF(R35&gt;=0,1,0)</f>
        <v>1</v>
      </c>
    </row>
    <row r="36" customFormat="false" ht="15" hidden="false" customHeight="true" outlineLevel="0" collapsed="false">
      <c r="A36" s="16" t="n">
        <v>32</v>
      </c>
      <c r="B36" s="46" t="n">
        <f aca="false">IF(A36&lt;=12,INDEX(Budget_8M!$C$44:$N$44,A36),Inputs!$B$24)</f>
        <v>395000</v>
      </c>
      <c r="C36" s="44" t="n">
        <f aca="false">IF(A36&lt;Inputs!$B$9+Inputs!$D$29,0,Inputs!$B$29*Inputs!$B$23*MIN(1,(A36-Inputs!$B$9-Inputs!$D$29+1)/(Inputs!$B$10-Inputs!$B$9+1)))</f>
        <v>105.238095238095</v>
      </c>
      <c r="D36" s="40" t="n">
        <f aca="false">C36*Inputs!$B$4</f>
        <v>4630476.19047619</v>
      </c>
      <c r="E36" s="40" t="n">
        <f aca="false">D36*Inputs!$C$29</f>
        <v>1389142.85714286</v>
      </c>
      <c r="F36" s="40" t="n">
        <f aca="false">E36-$B36</f>
        <v>994142.857142857</v>
      </c>
      <c r="G36" s="40" t="n">
        <f aca="false">G35+F36</f>
        <v>10493714.2857143</v>
      </c>
      <c r="H36" s="45" t="n">
        <f aca="false">IF(F36&gt;=0,1,0)</f>
        <v>1</v>
      </c>
      <c r="I36" s="44" t="n">
        <f aca="false">IF(A36&lt;Inputs!$B$9+Inputs!$D$30,0,Inputs!$B$30*Inputs!$B$23*MIN(1,(A36-Inputs!$B$9-Inputs!$D$30+1)/(Inputs!$B$10-Inputs!$B$9+1)))</f>
        <v>73.6666666666667</v>
      </c>
      <c r="J36" s="40" t="n">
        <f aca="false">I36*Inputs!$B$4</f>
        <v>3241333.33333333</v>
      </c>
      <c r="K36" s="40" t="n">
        <f aca="false">J36*Inputs!$C$30</f>
        <v>972400</v>
      </c>
      <c r="L36" s="40" t="n">
        <f aca="false">K36-$B36</f>
        <v>577400</v>
      </c>
      <c r="M36" s="40" t="n">
        <f aca="false">M35+L36</f>
        <v>2575600</v>
      </c>
      <c r="N36" s="45" t="n">
        <f aca="false">IF(L36&gt;=0,1,0)</f>
        <v>1</v>
      </c>
      <c r="O36" s="44" t="n">
        <f aca="false">IF(A36&lt;Inputs!$B$9+Inputs!$D$31,0,Inputs!$B$31*Inputs!$B$23*MIN(1,(A36-Inputs!$B$9-Inputs!$D$31+1)/(Inputs!$B$10-Inputs!$B$9+1)))</f>
        <v>42.0952380952381</v>
      </c>
      <c r="P36" s="40" t="n">
        <f aca="false">O36*Inputs!$B$4</f>
        <v>1852190.47619048</v>
      </c>
      <c r="Q36" s="40" t="n">
        <f aca="false">P36*Inputs!$C$31</f>
        <v>463047.619047619</v>
      </c>
      <c r="R36" s="40" t="n">
        <f aca="false">Q36-$B36</f>
        <v>68047.6190476191</v>
      </c>
      <c r="S36" s="40" t="n">
        <f aca="false">S35+R36</f>
        <v>-8028190.47619047</v>
      </c>
      <c r="T36" s="45" t="n">
        <f aca="false">IF(R36&gt;=0,1,0)</f>
        <v>1</v>
      </c>
    </row>
    <row r="37" customFormat="false" ht="15" hidden="false" customHeight="true" outlineLevel="0" collapsed="false">
      <c r="A37" s="16" t="n">
        <v>33</v>
      </c>
      <c r="B37" s="46" t="n">
        <f aca="false">IF(A37&lt;=12,INDEX(Budget_8M!$C$44:$N$44,A37),Inputs!$B$24)</f>
        <v>395000</v>
      </c>
      <c r="C37" s="44" t="n">
        <f aca="false">IF(A37&lt;Inputs!$B$9+Inputs!$D$29,0,Inputs!$B$29*Inputs!$B$23*MIN(1,(A37-Inputs!$B$9-Inputs!$D$29+1)/(Inputs!$B$10-Inputs!$B$9+1)))</f>
        <v>105.238095238095</v>
      </c>
      <c r="D37" s="40" t="n">
        <f aca="false">C37*Inputs!$B$4</f>
        <v>4630476.19047619</v>
      </c>
      <c r="E37" s="40" t="n">
        <f aca="false">D37*Inputs!$C$29</f>
        <v>1389142.85714286</v>
      </c>
      <c r="F37" s="40" t="n">
        <f aca="false">E37-$B37</f>
        <v>994142.857142857</v>
      </c>
      <c r="G37" s="40" t="n">
        <f aca="false">G36+F37</f>
        <v>11487857.1428571</v>
      </c>
      <c r="H37" s="45" t="n">
        <f aca="false">IF(F37&gt;=0,1,0)</f>
        <v>1</v>
      </c>
      <c r="I37" s="44" t="n">
        <f aca="false">IF(A37&lt;Inputs!$B$9+Inputs!$D$30,0,Inputs!$B$30*Inputs!$B$23*MIN(1,(A37-Inputs!$B$9-Inputs!$D$30+1)/(Inputs!$B$10-Inputs!$B$9+1)))</f>
        <v>73.6666666666667</v>
      </c>
      <c r="J37" s="40" t="n">
        <f aca="false">I37*Inputs!$B$4</f>
        <v>3241333.33333333</v>
      </c>
      <c r="K37" s="40" t="n">
        <f aca="false">J37*Inputs!$C$30</f>
        <v>972400</v>
      </c>
      <c r="L37" s="40" t="n">
        <f aca="false">K37-$B37</f>
        <v>577400</v>
      </c>
      <c r="M37" s="40" t="n">
        <f aca="false">M36+L37</f>
        <v>3153000</v>
      </c>
      <c r="N37" s="45" t="n">
        <f aca="false">IF(L37&gt;=0,1,0)</f>
        <v>1</v>
      </c>
      <c r="O37" s="44" t="n">
        <f aca="false">IF(A37&lt;Inputs!$B$9+Inputs!$D$31,0,Inputs!$B$31*Inputs!$B$23*MIN(1,(A37-Inputs!$B$9-Inputs!$D$31+1)/(Inputs!$B$10-Inputs!$B$9+1)))</f>
        <v>42.0952380952381</v>
      </c>
      <c r="P37" s="40" t="n">
        <f aca="false">O37*Inputs!$B$4</f>
        <v>1852190.47619048</v>
      </c>
      <c r="Q37" s="40" t="n">
        <f aca="false">P37*Inputs!$C$31</f>
        <v>463047.619047619</v>
      </c>
      <c r="R37" s="40" t="n">
        <f aca="false">Q37-$B37</f>
        <v>68047.6190476191</v>
      </c>
      <c r="S37" s="40" t="n">
        <f aca="false">S36+R37</f>
        <v>-7960142.85714285</v>
      </c>
      <c r="T37" s="45" t="n">
        <f aca="false">IF(R37&gt;=0,1,0)</f>
        <v>1</v>
      </c>
    </row>
    <row r="38" customFormat="false" ht="15" hidden="false" customHeight="true" outlineLevel="0" collapsed="false">
      <c r="A38" s="16" t="n">
        <v>34</v>
      </c>
      <c r="B38" s="46" t="n">
        <f aca="false">IF(A38&lt;=12,INDEX(Budget_8M!$C$44:$N$44,A38),Inputs!$B$24)</f>
        <v>395000</v>
      </c>
      <c r="C38" s="44" t="n">
        <f aca="false">IF(A38&lt;Inputs!$B$9+Inputs!$D$29,0,Inputs!$B$29*Inputs!$B$23*MIN(1,(A38-Inputs!$B$9-Inputs!$D$29+1)/(Inputs!$B$10-Inputs!$B$9+1)))</f>
        <v>105.238095238095</v>
      </c>
      <c r="D38" s="40" t="n">
        <f aca="false">C38*Inputs!$B$4</f>
        <v>4630476.19047619</v>
      </c>
      <c r="E38" s="40" t="n">
        <f aca="false">D38*Inputs!$C$29</f>
        <v>1389142.85714286</v>
      </c>
      <c r="F38" s="40" t="n">
        <f aca="false">E38-$B38</f>
        <v>994142.857142857</v>
      </c>
      <c r="G38" s="40" t="n">
        <f aca="false">G37+F38</f>
        <v>12482000</v>
      </c>
      <c r="H38" s="45" t="n">
        <f aca="false">IF(F38&gt;=0,1,0)</f>
        <v>1</v>
      </c>
      <c r="I38" s="44" t="n">
        <f aca="false">IF(A38&lt;Inputs!$B$9+Inputs!$D$30,0,Inputs!$B$30*Inputs!$B$23*MIN(1,(A38-Inputs!$B$9-Inputs!$D$30+1)/(Inputs!$B$10-Inputs!$B$9+1)))</f>
        <v>73.6666666666667</v>
      </c>
      <c r="J38" s="40" t="n">
        <f aca="false">I38*Inputs!$B$4</f>
        <v>3241333.33333333</v>
      </c>
      <c r="K38" s="40" t="n">
        <f aca="false">J38*Inputs!$C$30</f>
        <v>972400</v>
      </c>
      <c r="L38" s="40" t="n">
        <f aca="false">K38-$B38</f>
        <v>577400</v>
      </c>
      <c r="M38" s="40" t="n">
        <f aca="false">M37+L38</f>
        <v>3730400</v>
      </c>
      <c r="N38" s="45" t="n">
        <f aca="false">IF(L38&gt;=0,1,0)</f>
        <v>1</v>
      </c>
      <c r="O38" s="44" t="n">
        <f aca="false">IF(A38&lt;Inputs!$B$9+Inputs!$D$31,0,Inputs!$B$31*Inputs!$B$23*MIN(1,(A38-Inputs!$B$9-Inputs!$D$31+1)/(Inputs!$B$10-Inputs!$B$9+1)))</f>
        <v>42.0952380952381</v>
      </c>
      <c r="P38" s="40" t="n">
        <f aca="false">O38*Inputs!$B$4</f>
        <v>1852190.47619048</v>
      </c>
      <c r="Q38" s="40" t="n">
        <f aca="false">P38*Inputs!$C$31</f>
        <v>463047.619047619</v>
      </c>
      <c r="R38" s="40" t="n">
        <f aca="false">Q38-$B38</f>
        <v>68047.6190476191</v>
      </c>
      <c r="S38" s="40" t="n">
        <f aca="false">S37+R38</f>
        <v>-7892095.23809523</v>
      </c>
      <c r="T38" s="45" t="n">
        <f aca="false">IF(R38&gt;=0,1,0)</f>
        <v>1</v>
      </c>
    </row>
    <row r="39" customFormat="false" ht="15" hidden="false" customHeight="true" outlineLevel="0" collapsed="false">
      <c r="A39" s="16" t="n">
        <v>35</v>
      </c>
      <c r="B39" s="46" t="n">
        <f aca="false">IF(A39&lt;=12,INDEX(Budget_8M!$C$44:$N$44,A39),Inputs!$B$24)</f>
        <v>395000</v>
      </c>
      <c r="C39" s="44" t="n">
        <f aca="false">IF(A39&lt;Inputs!$B$9+Inputs!$D$29,0,Inputs!$B$29*Inputs!$B$23*MIN(1,(A39-Inputs!$B$9-Inputs!$D$29+1)/(Inputs!$B$10-Inputs!$B$9+1)))</f>
        <v>105.238095238095</v>
      </c>
      <c r="D39" s="40" t="n">
        <f aca="false">C39*Inputs!$B$4</f>
        <v>4630476.19047619</v>
      </c>
      <c r="E39" s="40" t="n">
        <f aca="false">D39*Inputs!$C$29</f>
        <v>1389142.85714286</v>
      </c>
      <c r="F39" s="40" t="n">
        <f aca="false">E39-$B39</f>
        <v>994142.857142857</v>
      </c>
      <c r="G39" s="40" t="n">
        <f aca="false">G38+F39</f>
        <v>13476142.8571429</v>
      </c>
      <c r="H39" s="45" t="n">
        <f aca="false">IF(F39&gt;=0,1,0)</f>
        <v>1</v>
      </c>
      <c r="I39" s="44" t="n">
        <f aca="false">IF(A39&lt;Inputs!$B$9+Inputs!$D$30,0,Inputs!$B$30*Inputs!$B$23*MIN(1,(A39-Inputs!$B$9-Inputs!$D$30+1)/(Inputs!$B$10-Inputs!$B$9+1)))</f>
        <v>73.6666666666667</v>
      </c>
      <c r="J39" s="40" t="n">
        <f aca="false">I39*Inputs!$B$4</f>
        <v>3241333.33333333</v>
      </c>
      <c r="K39" s="40" t="n">
        <f aca="false">J39*Inputs!$C$30</f>
        <v>972400</v>
      </c>
      <c r="L39" s="40" t="n">
        <f aca="false">K39-$B39</f>
        <v>577400</v>
      </c>
      <c r="M39" s="40" t="n">
        <f aca="false">M38+L39</f>
        <v>4307800</v>
      </c>
      <c r="N39" s="45" t="n">
        <f aca="false">IF(L39&gt;=0,1,0)</f>
        <v>1</v>
      </c>
      <c r="O39" s="44" t="n">
        <f aca="false">IF(A39&lt;Inputs!$B$9+Inputs!$D$31,0,Inputs!$B$31*Inputs!$B$23*MIN(1,(A39-Inputs!$B$9-Inputs!$D$31+1)/(Inputs!$B$10-Inputs!$B$9+1)))</f>
        <v>42.0952380952381</v>
      </c>
      <c r="P39" s="40" t="n">
        <f aca="false">O39*Inputs!$B$4</f>
        <v>1852190.47619048</v>
      </c>
      <c r="Q39" s="40" t="n">
        <f aca="false">P39*Inputs!$C$31</f>
        <v>463047.619047619</v>
      </c>
      <c r="R39" s="40" t="n">
        <f aca="false">Q39-$B39</f>
        <v>68047.6190476191</v>
      </c>
      <c r="S39" s="40" t="n">
        <f aca="false">S38+R39</f>
        <v>-7824047.61904761</v>
      </c>
      <c r="T39" s="45" t="n">
        <f aca="false">IF(R39&gt;=0,1,0)</f>
        <v>1</v>
      </c>
    </row>
    <row r="40" customFormat="false" ht="15" hidden="false" customHeight="true" outlineLevel="0" collapsed="false">
      <c r="A40" s="16" t="n">
        <v>36</v>
      </c>
      <c r="B40" s="46" t="n">
        <f aca="false">IF(A40&lt;=12,INDEX(Budget_8M!$C$44:$N$44,A40),Inputs!$B$24)</f>
        <v>395000</v>
      </c>
      <c r="C40" s="44" t="n">
        <f aca="false">IF(A40&lt;Inputs!$B$9+Inputs!$D$29,0,Inputs!$B$29*Inputs!$B$23*MIN(1,(A40-Inputs!$B$9-Inputs!$D$29+1)/(Inputs!$B$10-Inputs!$B$9+1)))</f>
        <v>105.238095238095</v>
      </c>
      <c r="D40" s="40" t="n">
        <f aca="false">C40*Inputs!$B$4</f>
        <v>4630476.19047619</v>
      </c>
      <c r="E40" s="40" t="n">
        <f aca="false">D40*Inputs!$C$29</f>
        <v>1389142.85714286</v>
      </c>
      <c r="F40" s="40" t="n">
        <f aca="false">E40-$B40</f>
        <v>994142.857142857</v>
      </c>
      <c r="G40" s="40" t="n">
        <f aca="false">G39+F40</f>
        <v>14470285.7142857</v>
      </c>
      <c r="H40" s="45" t="n">
        <f aca="false">IF(F40&gt;=0,1,0)</f>
        <v>1</v>
      </c>
      <c r="I40" s="44" t="n">
        <f aca="false">IF(A40&lt;Inputs!$B$9+Inputs!$D$30,0,Inputs!$B$30*Inputs!$B$23*MIN(1,(A40-Inputs!$B$9-Inputs!$D$30+1)/(Inputs!$B$10-Inputs!$B$9+1)))</f>
        <v>73.6666666666667</v>
      </c>
      <c r="J40" s="40" t="n">
        <f aca="false">I40*Inputs!$B$4</f>
        <v>3241333.33333333</v>
      </c>
      <c r="K40" s="40" t="n">
        <f aca="false">J40*Inputs!$C$30</f>
        <v>972400</v>
      </c>
      <c r="L40" s="40" t="n">
        <f aca="false">K40-$B40</f>
        <v>577400</v>
      </c>
      <c r="M40" s="40" t="n">
        <f aca="false">M39+L40</f>
        <v>4885200</v>
      </c>
      <c r="N40" s="45" t="n">
        <f aca="false">IF(L40&gt;=0,1,0)</f>
        <v>1</v>
      </c>
      <c r="O40" s="44" t="n">
        <f aca="false">IF(A40&lt;Inputs!$B$9+Inputs!$D$31,0,Inputs!$B$31*Inputs!$B$23*MIN(1,(A40-Inputs!$B$9-Inputs!$D$31+1)/(Inputs!$B$10-Inputs!$B$9+1)))</f>
        <v>42.0952380952381</v>
      </c>
      <c r="P40" s="40" t="n">
        <f aca="false">O40*Inputs!$B$4</f>
        <v>1852190.47619048</v>
      </c>
      <c r="Q40" s="40" t="n">
        <f aca="false">P40*Inputs!$C$31</f>
        <v>463047.619047619</v>
      </c>
      <c r="R40" s="40" t="n">
        <f aca="false">Q40-$B40</f>
        <v>68047.6190476191</v>
      </c>
      <c r="S40" s="40" t="n">
        <f aca="false">S39+R40</f>
        <v>-7755999.99999999</v>
      </c>
      <c r="T40" s="45" t="n">
        <f aca="false">IF(R40&gt;=0,1,0)</f>
        <v>1</v>
      </c>
    </row>
    <row r="41" customFormat="false" ht="15" hidden="false" customHeight="true" outlineLevel="0" collapsed="false">
      <c r="A41" s="16" t="n">
        <v>37</v>
      </c>
      <c r="B41" s="46" t="n">
        <f aca="false">IF(A41&lt;=12,INDEX(Budget_8M!$C$44:$N$44,A41),Inputs!$B$24)</f>
        <v>395000</v>
      </c>
      <c r="C41" s="44" t="n">
        <f aca="false">IF(A41&lt;Inputs!$B$9+Inputs!$D$29,0,Inputs!$B$29*Inputs!$B$23*MIN(1,(A41-Inputs!$B$9-Inputs!$D$29+1)/(Inputs!$B$10-Inputs!$B$9+1)))</f>
        <v>105.238095238095</v>
      </c>
      <c r="D41" s="40" t="n">
        <f aca="false">C41*Inputs!$B$4</f>
        <v>4630476.19047619</v>
      </c>
      <c r="E41" s="40" t="n">
        <f aca="false">D41*Inputs!$C$29</f>
        <v>1389142.85714286</v>
      </c>
      <c r="F41" s="40" t="n">
        <f aca="false">E41-$B41</f>
        <v>994142.857142857</v>
      </c>
      <c r="G41" s="40" t="n">
        <f aca="false">G40+F41</f>
        <v>15464428.5714286</v>
      </c>
      <c r="H41" s="45" t="n">
        <f aca="false">IF(F41&gt;=0,1,0)</f>
        <v>1</v>
      </c>
      <c r="I41" s="44" t="n">
        <f aca="false">IF(A41&lt;Inputs!$B$9+Inputs!$D$30,0,Inputs!$B$30*Inputs!$B$23*MIN(1,(A41-Inputs!$B$9-Inputs!$D$30+1)/(Inputs!$B$10-Inputs!$B$9+1)))</f>
        <v>73.6666666666667</v>
      </c>
      <c r="J41" s="40" t="n">
        <f aca="false">I41*Inputs!$B$4</f>
        <v>3241333.33333333</v>
      </c>
      <c r="K41" s="40" t="n">
        <f aca="false">J41*Inputs!$C$30</f>
        <v>972400</v>
      </c>
      <c r="L41" s="40" t="n">
        <f aca="false">K41-$B41</f>
        <v>577400</v>
      </c>
      <c r="M41" s="40" t="n">
        <f aca="false">M40+L41</f>
        <v>5462600</v>
      </c>
      <c r="N41" s="45" t="n">
        <f aca="false">IF(L41&gt;=0,1,0)</f>
        <v>1</v>
      </c>
      <c r="O41" s="44" t="n">
        <f aca="false">IF(A41&lt;Inputs!$B$9+Inputs!$D$31,0,Inputs!$B$31*Inputs!$B$23*MIN(1,(A41-Inputs!$B$9-Inputs!$D$31+1)/(Inputs!$B$10-Inputs!$B$9+1)))</f>
        <v>42.0952380952381</v>
      </c>
      <c r="P41" s="40" t="n">
        <f aca="false">O41*Inputs!$B$4</f>
        <v>1852190.47619048</v>
      </c>
      <c r="Q41" s="40" t="n">
        <f aca="false">P41*Inputs!$C$31</f>
        <v>463047.619047619</v>
      </c>
      <c r="R41" s="40" t="n">
        <f aca="false">Q41-$B41</f>
        <v>68047.6190476191</v>
      </c>
      <c r="S41" s="40" t="n">
        <f aca="false">S40+R41</f>
        <v>-7687952.38095237</v>
      </c>
      <c r="T41" s="45" t="n">
        <f aca="false">IF(R41&gt;=0,1,0)</f>
        <v>1</v>
      </c>
    </row>
    <row r="42" customFormat="false" ht="15" hidden="false" customHeight="true" outlineLevel="0" collapsed="false">
      <c r="A42" s="16" t="n">
        <v>38</v>
      </c>
      <c r="B42" s="46" t="n">
        <f aca="false">IF(A42&lt;=12,INDEX(Budget_8M!$C$44:$N$44,A42),Inputs!$B$24)</f>
        <v>395000</v>
      </c>
      <c r="C42" s="44" t="n">
        <f aca="false">IF(A42&lt;Inputs!$B$9+Inputs!$D$29,0,Inputs!$B$29*Inputs!$B$23*MIN(1,(A42-Inputs!$B$9-Inputs!$D$29+1)/(Inputs!$B$10-Inputs!$B$9+1)))</f>
        <v>105.238095238095</v>
      </c>
      <c r="D42" s="40" t="n">
        <f aca="false">C42*Inputs!$B$4</f>
        <v>4630476.19047619</v>
      </c>
      <c r="E42" s="40" t="n">
        <f aca="false">D42*Inputs!$C$29</f>
        <v>1389142.85714286</v>
      </c>
      <c r="F42" s="40" t="n">
        <f aca="false">E42-$B42</f>
        <v>994142.857142857</v>
      </c>
      <c r="G42" s="40" t="n">
        <f aca="false">G41+F42</f>
        <v>16458571.4285714</v>
      </c>
      <c r="H42" s="45" t="n">
        <f aca="false">IF(F42&gt;=0,1,0)</f>
        <v>1</v>
      </c>
      <c r="I42" s="44" t="n">
        <f aca="false">IF(A42&lt;Inputs!$B$9+Inputs!$D$30,0,Inputs!$B$30*Inputs!$B$23*MIN(1,(A42-Inputs!$B$9-Inputs!$D$30+1)/(Inputs!$B$10-Inputs!$B$9+1)))</f>
        <v>73.6666666666667</v>
      </c>
      <c r="J42" s="40" t="n">
        <f aca="false">I42*Inputs!$B$4</f>
        <v>3241333.33333333</v>
      </c>
      <c r="K42" s="40" t="n">
        <f aca="false">J42*Inputs!$C$30</f>
        <v>972400</v>
      </c>
      <c r="L42" s="40" t="n">
        <f aca="false">K42-$B42</f>
        <v>577400</v>
      </c>
      <c r="M42" s="40" t="n">
        <f aca="false">M41+L42</f>
        <v>6040000</v>
      </c>
      <c r="N42" s="45" t="n">
        <f aca="false">IF(L42&gt;=0,1,0)</f>
        <v>1</v>
      </c>
      <c r="O42" s="44" t="n">
        <f aca="false">IF(A42&lt;Inputs!$B$9+Inputs!$D$31,0,Inputs!$B$31*Inputs!$B$23*MIN(1,(A42-Inputs!$B$9-Inputs!$D$31+1)/(Inputs!$B$10-Inputs!$B$9+1)))</f>
        <v>42.0952380952381</v>
      </c>
      <c r="P42" s="40" t="n">
        <f aca="false">O42*Inputs!$B$4</f>
        <v>1852190.47619048</v>
      </c>
      <c r="Q42" s="40" t="n">
        <f aca="false">P42*Inputs!$C$31</f>
        <v>463047.619047619</v>
      </c>
      <c r="R42" s="40" t="n">
        <f aca="false">Q42-$B42</f>
        <v>68047.6190476191</v>
      </c>
      <c r="S42" s="40" t="n">
        <f aca="false">S41+R42</f>
        <v>-7619904.76190475</v>
      </c>
      <c r="T42" s="45" t="n">
        <f aca="false">IF(R42&gt;=0,1,0)</f>
        <v>1</v>
      </c>
    </row>
    <row r="43" customFormat="false" ht="15" hidden="false" customHeight="true" outlineLevel="0" collapsed="false">
      <c r="A43" s="16" t="n">
        <v>39</v>
      </c>
      <c r="B43" s="46" t="n">
        <f aca="false">IF(A43&lt;=12,INDEX(Budget_8M!$C$44:$N$44,A43),Inputs!$B$24)</f>
        <v>395000</v>
      </c>
      <c r="C43" s="44" t="n">
        <f aca="false">IF(A43&lt;Inputs!$B$9+Inputs!$D$29,0,Inputs!$B$29*Inputs!$B$23*MIN(1,(A43-Inputs!$B$9-Inputs!$D$29+1)/(Inputs!$B$10-Inputs!$B$9+1)))</f>
        <v>105.238095238095</v>
      </c>
      <c r="D43" s="40" t="n">
        <f aca="false">C43*Inputs!$B$4</f>
        <v>4630476.19047619</v>
      </c>
      <c r="E43" s="40" t="n">
        <f aca="false">D43*Inputs!$C$29</f>
        <v>1389142.85714286</v>
      </c>
      <c r="F43" s="40" t="n">
        <f aca="false">E43-$B43</f>
        <v>994142.857142857</v>
      </c>
      <c r="G43" s="40" t="n">
        <f aca="false">G42+F43</f>
        <v>17452714.2857143</v>
      </c>
      <c r="H43" s="45" t="n">
        <f aca="false">IF(F43&gt;=0,1,0)</f>
        <v>1</v>
      </c>
      <c r="I43" s="44" t="n">
        <f aca="false">IF(A43&lt;Inputs!$B$9+Inputs!$D$30,0,Inputs!$B$30*Inputs!$B$23*MIN(1,(A43-Inputs!$B$9-Inputs!$D$30+1)/(Inputs!$B$10-Inputs!$B$9+1)))</f>
        <v>73.6666666666667</v>
      </c>
      <c r="J43" s="40" t="n">
        <f aca="false">I43*Inputs!$B$4</f>
        <v>3241333.33333333</v>
      </c>
      <c r="K43" s="40" t="n">
        <f aca="false">J43*Inputs!$C$30</f>
        <v>972400</v>
      </c>
      <c r="L43" s="40" t="n">
        <f aca="false">K43-$B43</f>
        <v>577400</v>
      </c>
      <c r="M43" s="40" t="n">
        <f aca="false">M42+L43</f>
        <v>6617400</v>
      </c>
      <c r="N43" s="45" t="n">
        <f aca="false">IF(L43&gt;=0,1,0)</f>
        <v>1</v>
      </c>
      <c r="O43" s="44" t="n">
        <f aca="false">IF(A43&lt;Inputs!$B$9+Inputs!$D$31,0,Inputs!$B$31*Inputs!$B$23*MIN(1,(A43-Inputs!$B$9-Inputs!$D$31+1)/(Inputs!$B$10-Inputs!$B$9+1)))</f>
        <v>42.0952380952381</v>
      </c>
      <c r="P43" s="40" t="n">
        <f aca="false">O43*Inputs!$B$4</f>
        <v>1852190.47619048</v>
      </c>
      <c r="Q43" s="40" t="n">
        <f aca="false">P43*Inputs!$C$31</f>
        <v>463047.619047619</v>
      </c>
      <c r="R43" s="40" t="n">
        <f aca="false">Q43-$B43</f>
        <v>68047.6190476191</v>
      </c>
      <c r="S43" s="40" t="n">
        <f aca="false">S42+R43</f>
        <v>-7551857.14285713</v>
      </c>
      <c r="T43" s="45" t="n">
        <f aca="false">IF(R43&gt;=0,1,0)</f>
        <v>1</v>
      </c>
    </row>
    <row r="44" customFormat="false" ht="15" hidden="false" customHeight="true" outlineLevel="0" collapsed="false">
      <c r="A44" s="16" t="n">
        <v>40</v>
      </c>
      <c r="B44" s="46" t="n">
        <f aca="false">IF(A44&lt;=12,INDEX(Budget_8M!$C$44:$N$44,A44),Inputs!$B$24)</f>
        <v>395000</v>
      </c>
      <c r="C44" s="44" t="n">
        <f aca="false">IF(A44&lt;Inputs!$B$9+Inputs!$D$29,0,Inputs!$B$29*Inputs!$B$23*MIN(1,(A44-Inputs!$B$9-Inputs!$D$29+1)/(Inputs!$B$10-Inputs!$B$9+1)))</f>
        <v>105.238095238095</v>
      </c>
      <c r="D44" s="40" t="n">
        <f aca="false">C44*Inputs!$B$4</f>
        <v>4630476.19047619</v>
      </c>
      <c r="E44" s="40" t="n">
        <f aca="false">D44*Inputs!$C$29</f>
        <v>1389142.85714286</v>
      </c>
      <c r="F44" s="40" t="n">
        <f aca="false">E44-$B44</f>
        <v>994142.857142857</v>
      </c>
      <c r="G44" s="40" t="n">
        <f aca="false">G43+F44</f>
        <v>18446857.1428571</v>
      </c>
      <c r="H44" s="45" t="n">
        <f aca="false">IF(F44&gt;=0,1,0)</f>
        <v>1</v>
      </c>
      <c r="I44" s="44" t="n">
        <f aca="false">IF(A44&lt;Inputs!$B$9+Inputs!$D$30,0,Inputs!$B$30*Inputs!$B$23*MIN(1,(A44-Inputs!$B$9-Inputs!$D$30+1)/(Inputs!$B$10-Inputs!$B$9+1)))</f>
        <v>73.6666666666667</v>
      </c>
      <c r="J44" s="40" t="n">
        <f aca="false">I44*Inputs!$B$4</f>
        <v>3241333.33333333</v>
      </c>
      <c r="K44" s="40" t="n">
        <f aca="false">J44*Inputs!$C$30</f>
        <v>972400</v>
      </c>
      <c r="L44" s="40" t="n">
        <f aca="false">K44-$B44</f>
        <v>577400</v>
      </c>
      <c r="M44" s="40" t="n">
        <f aca="false">M43+L44</f>
        <v>7194800</v>
      </c>
      <c r="N44" s="45" t="n">
        <f aca="false">IF(L44&gt;=0,1,0)</f>
        <v>1</v>
      </c>
      <c r="O44" s="44" t="n">
        <f aca="false">IF(A44&lt;Inputs!$B$9+Inputs!$D$31,0,Inputs!$B$31*Inputs!$B$23*MIN(1,(A44-Inputs!$B$9-Inputs!$D$31+1)/(Inputs!$B$10-Inputs!$B$9+1)))</f>
        <v>42.0952380952381</v>
      </c>
      <c r="P44" s="40" t="n">
        <f aca="false">O44*Inputs!$B$4</f>
        <v>1852190.47619048</v>
      </c>
      <c r="Q44" s="40" t="n">
        <f aca="false">P44*Inputs!$C$31</f>
        <v>463047.619047619</v>
      </c>
      <c r="R44" s="40" t="n">
        <f aca="false">Q44-$B44</f>
        <v>68047.6190476191</v>
      </c>
      <c r="S44" s="40" t="n">
        <f aca="false">S43+R44</f>
        <v>-7483809.52380952</v>
      </c>
      <c r="T44" s="45" t="n">
        <f aca="false">IF(R44&gt;=0,1,0)</f>
        <v>1</v>
      </c>
    </row>
    <row r="45" customFormat="false" ht="15" hidden="false" customHeight="true" outlineLevel="0" collapsed="false">
      <c r="A45" s="16" t="n">
        <v>41</v>
      </c>
      <c r="B45" s="46" t="n">
        <f aca="false">IF(A45&lt;=12,INDEX(Budget_8M!$C$44:$N$44,A45),Inputs!$B$24)</f>
        <v>395000</v>
      </c>
      <c r="C45" s="44" t="n">
        <f aca="false">IF(A45&lt;Inputs!$B$9+Inputs!$D$29,0,Inputs!$B$29*Inputs!$B$23*MIN(1,(A45-Inputs!$B$9-Inputs!$D$29+1)/(Inputs!$B$10-Inputs!$B$9+1)))</f>
        <v>105.238095238095</v>
      </c>
      <c r="D45" s="40" t="n">
        <f aca="false">C45*Inputs!$B$4</f>
        <v>4630476.19047619</v>
      </c>
      <c r="E45" s="40" t="n">
        <f aca="false">D45*Inputs!$C$29</f>
        <v>1389142.85714286</v>
      </c>
      <c r="F45" s="40" t="n">
        <f aca="false">E45-$B45</f>
        <v>994142.857142857</v>
      </c>
      <c r="G45" s="40" t="n">
        <f aca="false">G44+F45</f>
        <v>19441000</v>
      </c>
      <c r="H45" s="45" t="n">
        <f aca="false">IF(F45&gt;=0,1,0)</f>
        <v>1</v>
      </c>
      <c r="I45" s="44" t="n">
        <f aca="false">IF(A45&lt;Inputs!$B$9+Inputs!$D$30,0,Inputs!$B$30*Inputs!$B$23*MIN(1,(A45-Inputs!$B$9-Inputs!$D$30+1)/(Inputs!$B$10-Inputs!$B$9+1)))</f>
        <v>73.6666666666667</v>
      </c>
      <c r="J45" s="40" t="n">
        <f aca="false">I45*Inputs!$B$4</f>
        <v>3241333.33333333</v>
      </c>
      <c r="K45" s="40" t="n">
        <f aca="false">J45*Inputs!$C$30</f>
        <v>972400</v>
      </c>
      <c r="L45" s="40" t="n">
        <f aca="false">K45-$B45</f>
        <v>577400</v>
      </c>
      <c r="M45" s="40" t="n">
        <f aca="false">M44+L45</f>
        <v>7772200</v>
      </c>
      <c r="N45" s="45" t="n">
        <f aca="false">IF(L45&gt;=0,1,0)</f>
        <v>1</v>
      </c>
      <c r="O45" s="44" t="n">
        <f aca="false">IF(A45&lt;Inputs!$B$9+Inputs!$D$31,0,Inputs!$B$31*Inputs!$B$23*MIN(1,(A45-Inputs!$B$9-Inputs!$D$31+1)/(Inputs!$B$10-Inputs!$B$9+1)))</f>
        <v>42.0952380952381</v>
      </c>
      <c r="P45" s="40" t="n">
        <f aca="false">O45*Inputs!$B$4</f>
        <v>1852190.47619048</v>
      </c>
      <c r="Q45" s="40" t="n">
        <f aca="false">P45*Inputs!$C$31</f>
        <v>463047.619047619</v>
      </c>
      <c r="R45" s="40" t="n">
        <f aca="false">Q45-$B45</f>
        <v>68047.6190476191</v>
      </c>
      <c r="S45" s="40" t="n">
        <f aca="false">S44+R45</f>
        <v>-7415761.9047619</v>
      </c>
      <c r="T45" s="45" t="n">
        <f aca="false">IF(R45&gt;=0,1,0)</f>
        <v>1</v>
      </c>
    </row>
    <row r="46" customFormat="false" ht="15" hidden="false" customHeight="true" outlineLevel="0" collapsed="false">
      <c r="A46" s="16" t="n">
        <v>42</v>
      </c>
      <c r="B46" s="46" t="n">
        <f aca="false">IF(A46&lt;=12,INDEX(Budget_8M!$C$44:$N$44,A46),Inputs!$B$24)</f>
        <v>395000</v>
      </c>
      <c r="C46" s="44" t="n">
        <f aca="false">IF(A46&lt;Inputs!$B$9+Inputs!$D$29,0,Inputs!$B$29*Inputs!$B$23*MIN(1,(A46-Inputs!$B$9-Inputs!$D$29+1)/(Inputs!$B$10-Inputs!$B$9+1)))</f>
        <v>105.238095238095</v>
      </c>
      <c r="D46" s="40" t="n">
        <f aca="false">C46*Inputs!$B$4</f>
        <v>4630476.19047619</v>
      </c>
      <c r="E46" s="40" t="n">
        <f aca="false">D46*Inputs!$C$29</f>
        <v>1389142.85714286</v>
      </c>
      <c r="F46" s="40" t="n">
        <f aca="false">E46-$B46</f>
        <v>994142.857142857</v>
      </c>
      <c r="G46" s="40" t="n">
        <f aca="false">G45+F46</f>
        <v>20435142.8571429</v>
      </c>
      <c r="H46" s="45" t="n">
        <f aca="false">IF(F46&gt;=0,1,0)</f>
        <v>1</v>
      </c>
      <c r="I46" s="44" t="n">
        <f aca="false">IF(A46&lt;Inputs!$B$9+Inputs!$D$30,0,Inputs!$B$30*Inputs!$B$23*MIN(1,(A46-Inputs!$B$9-Inputs!$D$30+1)/(Inputs!$B$10-Inputs!$B$9+1)))</f>
        <v>73.6666666666667</v>
      </c>
      <c r="J46" s="40" t="n">
        <f aca="false">I46*Inputs!$B$4</f>
        <v>3241333.33333333</v>
      </c>
      <c r="K46" s="40" t="n">
        <f aca="false">J46*Inputs!$C$30</f>
        <v>972400</v>
      </c>
      <c r="L46" s="40" t="n">
        <f aca="false">K46-$B46</f>
        <v>577400</v>
      </c>
      <c r="M46" s="40" t="n">
        <f aca="false">M45+L46</f>
        <v>8349600</v>
      </c>
      <c r="N46" s="45" t="n">
        <f aca="false">IF(L46&gt;=0,1,0)</f>
        <v>1</v>
      </c>
      <c r="O46" s="44" t="n">
        <f aca="false">IF(A46&lt;Inputs!$B$9+Inputs!$D$31,0,Inputs!$B$31*Inputs!$B$23*MIN(1,(A46-Inputs!$B$9-Inputs!$D$31+1)/(Inputs!$B$10-Inputs!$B$9+1)))</f>
        <v>42.0952380952381</v>
      </c>
      <c r="P46" s="40" t="n">
        <f aca="false">O46*Inputs!$B$4</f>
        <v>1852190.47619048</v>
      </c>
      <c r="Q46" s="40" t="n">
        <f aca="false">P46*Inputs!$C$31</f>
        <v>463047.619047619</v>
      </c>
      <c r="R46" s="40" t="n">
        <f aca="false">Q46-$B46</f>
        <v>68047.6190476191</v>
      </c>
      <c r="S46" s="40" t="n">
        <f aca="false">S45+R46</f>
        <v>-7347714.28571428</v>
      </c>
      <c r="T46" s="45" t="n">
        <f aca="false">IF(R46&gt;=0,1,0)</f>
        <v>1</v>
      </c>
    </row>
    <row r="47" customFormat="false" ht="15" hidden="false" customHeight="true" outlineLevel="0" collapsed="false">
      <c r="A47" s="16" t="n">
        <v>43</v>
      </c>
      <c r="B47" s="46" t="n">
        <f aca="false">IF(A47&lt;=12,INDEX(Budget_8M!$C$44:$N$44,A47),Inputs!$B$24)</f>
        <v>395000</v>
      </c>
      <c r="C47" s="44" t="n">
        <f aca="false">IF(A47&lt;Inputs!$B$9+Inputs!$D$29,0,Inputs!$B$29*Inputs!$B$23*MIN(1,(A47-Inputs!$B$9-Inputs!$D$29+1)/(Inputs!$B$10-Inputs!$B$9+1)))</f>
        <v>105.238095238095</v>
      </c>
      <c r="D47" s="40" t="n">
        <f aca="false">C47*Inputs!$B$4</f>
        <v>4630476.19047619</v>
      </c>
      <c r="E47" s="40" t="n">
        <f aca="false">D47*Inputs!$C$29</f>
        <v>1389142.85714286</v>
      </c>
      <c r="F47" s="40" t="n">
        <f aca="false">E47-$B47</f>
        <v>994142.857142857</v>
      </c>
      <c r="G47" s="40" t="n">
        <f aca="false">G46+F47</f>
        <v>21429285.7142857</v>
      </c>
      <c r="H47" s="45" t="n">
        <f aca="false">IF(F47&gt;=0,1,0)</f>
        <v>1</v>
      </c>
      <c r="I47" s="44" t="n">
        <f aca="false">IF(A47&lt;Inputs!$B$9+Inputs!$D$30,0,Inputs!$B$30*Inputs!$B$23*MIN(1,(A47-Inputs!$B$9-Inputs!$D$30+1)/(Inputs!$B$10-Inputs!$B$9+1)))</f>
        <v>73.6666666666667</v>
      </c>
      <c r="J47" s="40" t="n">
        <f aca="false">I47*Inputs!$B$4</f>
        <v>3241333.33333333</v>
      </c>
      <c r="K47" s="40" t="n">
        <f aca="false">J47*Inputs!$C$30</f>
        <v>972400</v>
      </c>
      <c r="L47" s="40" t="n">
        <f aca="false">K47-$B47</f>
        <v>577400</v>
      </c>
      <c r="M47" s="40" t="n">
        <f aca="false">M46+L47</f>
        <v>8927000</v>
      </c>
      <c r="N47" s="45" t="n">
        <f aca="false">IF(L47&gt;=0,1,0)</f>
        <v>1</v>
      </c>
      <c r="O47" s="44" t="n">
        <f aca="false">IF(A47&lt;Inputs!$B$9+Inputs!$D$31,0,Inputs!$B$31*Inputs!$B$23*MIN(1,(A47-Inputs!$B$9-Inputs!$D$31+1)/(Inputs!$B$10-Inputs!$B$9+1)))</f>
        <v>42.0952380952381</v>
      </c>
      <c r="P47" s="40" t="n">
        <f aca="false">O47*Inputs!$B$4</f>
        <v>1852190.47619048</v>
      </c>
      <c r="Q47" s="40" t="n">
        <f aca="false">P47*Inputs!$C$31</f>
        <v>463047.619047619</v>
      </c>
      <c r="R47" s="40" t="n">
        <f aca="false">Q47-$B47</f>
        <v>68047.6190476191</v>
      </c>
      <c r="S47" s="40" t="n">
        <f aca="false">S46+R47</f>
        <v>-7279666.66666666</v>
      </c>
      <c r="T47" s="45" t="n">
        <f aca="false">IF(R47&gt;=0,1,0)</f>
        <v>1</v>
      </c>
    </row>
    <row r="48" customFormat="false" ht="15" hidden="false" customHeight="true" outlineLevel="0" collapsed="false">
      <c r="A48" s="16" t="n">
        <v>44</v>
      </c>
      <c r="B48" s="46" t="n">
        <f aca="false">IF(A48&lt;=12,INDEX(Budget_8M!$C$44:$N$44,A48),Inputs!$B$24)</f>
        <v>395000</v>
      </c>
      <c r="C48" s="44" t="n">
        <f aca="false">IF(A48&lt;Inputs!$B$9+Inputs!$D$29,0,Inputs!$B$29*Inputs!$B$23*MIN(1,(A48-Inputs!$B$9-Inputs!$D$29+1)/(Inputs!$B$10-Inputs!$B$9+1)))</f>
        <v>105.238095238095</v>
      </c>
      <c r="D48" s="40" t="n">
        <f aca="false">C48*Inputs!$B$4</f>
        <v>4630476.19047619</v>
      </c>
      <c r="E48" s="40" t="n">
        <f aca="false">D48*Inputs!$C$29</f>
        <v>1389142.85714286</v>
      </c>
      <c r="F48" s="40" t="n">
        <f aca="false">E48-$B48</f>
        <v>994142.857142857</v>
      </c>
      <c r="G48" s="40" t="n">
        <f aca="false">G47+F48</f>
        <v>22423428.5714286</v>
      </c>
      <c r="H48" s="45" t="n">
        <f aca="false">IF(F48&gt;=0,1,0)</f>
        <v>1</v>
      </c>
      <c r="I48" s="44" t="n">
        <f aca="false">IF(A48&lt;Inputs!$B$9+Inputs!$D$30,0,Inputs!$B$30*Inputs!$B$23*MIN(1,(A48-Inputs!$B$9-Inputs!$D$30+1)/(Inputs!$B$10-Inputs!$B$9+1)))</f>
        <v>73.6666666666667</v>
      </c>
      <c r="J48" s="40" t="n">
        <f aca="false">I48*Inputs!$B$4</f>
        <v>3241333.33333333</v>
      </c>
      <c r="K48" s="40" t="n">
        <f aca="false">J48*Inputs!$C$30</f>
        <v>972400</v>
      </c>
      <c r="L48" s="40" t="n">
        <f aca="false">K48-$B48</f>
        <v>577400</v>
      </c>
      <c r="M48" s="40" t="n">
        <f aca="false">M47+L48</f>
        <v>9504400</v>
      </c>
      <c r="N48" s="45" t="n">
        <f aca="false">IF(L48&gt;=0,1,0)</f>
        <v>1</v>
      </c>
      <c r="O48" s="44" t="n">
        <f aca="false">IF(A48&lt;Inputs!$B$9+Inputs!$D$31,0,Inputs!$B$31*Inputs!$B$23*MIN(1,(A48-Inputs!$B$9-Inputs!$D$31+1)/(Inputs!$B$10-Inputs!$B$9+1)))</f>
        <v>42.0952380952381</v>
      </c>
      <c r="P48" s="40" t="n">
        <f aca="false">O48*Inputs!$B$4</f>
        <v>1852190.47619048</v>
      </c>
      <c r="Q48" s="40" t="n">
        <f aca="false">P48*Inputs!$C$31</f>
        <v>463047.619047619</v>
      </c>
      <c r="R48" s="40" t="n">
        <f aca="false">Q48-$B48</f>
        <v>68047.6190476191</v>
      </c>
      <c r="S48" s="40" t="n">
        <f aca="false">S47+R48</f>
        <v>-7211619.04761904</v>
      </c>
      <c r="T48" s="45" t="n">
        <f aca="false">IF(R48&gt;=0,1,0)</f>
        <v>1</v>
      </c>
    </row>
    <row r="49" customFormat="false" ht="15" hidden="false" customHeight="true" outlineLevel="0" collapsed="false">
      <c r="A49" s="16" t="n">
        <v>45</v>
      </c>
      <c r="B49" s="46" t="n">
        <f aca="false">IF(A49&lt;=12,INDEX(Budget_8M!$C$44:$N$44,A49),Inputs!$B$24)</f>
        <v>395000</v>
      </c>
      <c r="C49" s="44" t="n">
        <f aca="false">IF(A49&lt;Inputs!$B$9+Inputs!$D$29,0,Inputs!$B$29*Inputs!$B$23*MIN(1,(A49-Inputs!$B$9-Inputs!$D$29+1)/(Inputs!$B$10-Inputs!$B$9+1)))</f>
        <v>105.238095238095</v>
      </c>
      <c r="D49" s="40" t="n">
        <f aca="false">C49*Inputs!$B$4</f>
        <v>4630476.19047619</v>
      </c>
      <c r="E49" s="40" t="n">
        <f aca="false">D49*Inputs!$C$29</f>
        <v>1389142.85714286</v>
      </c>
      <c r="F49" s="40" t="n">
        <f aca="false">E49-$B49</f>
        <v>994142.857142857</v>
      </c>
      <c r="G49" s="40" t="n">
        <f aca="false">G48+F49</f>
        <v>23417571.4285714</v>
      </c>
      <c r="H49" s="45" t="n">
        <f aca="false">IF(F49&gt;=0,1,0)</f>
        <v>1</v>
      </c>
      <c r="I49" s="44" t="n">
        <f aca="false">IF(A49&lt;Inputs!$B$9+Inputs!$D$30,0,Inputs!$B$30*Inputs!$B$23*MIN(1,(A49-Inputs!$B$9-Inputs!$D$30+1)/(Inputs!$B$10-Inputs!$B$9+1)))</f>
        <v>73.6666666666667</v>
      </c>
      <c r="J49" s="40" t="n">
        <f aca="false">I49*Inputs!$B$4</f>
        <v>3241333.33333333</v>
      </c>
      <c r="K49" s="40" t="n">
        <f aca="false">J49*Inputs!$C$30</f>
        <v>972400</v>
      </c>
      <c r="L49" s="40" t="n">
        <f aca="false">K49-$B49</f>
        <v>577400</v>
      </c>
      <c r="M49" s="40" t="n">
        <f aca="false">M48+L49</f>
        <v>10081800</v>
      </c>
      <c r="N49" s="45" t="n">
        <f aca="false">IF(L49&gt;=0,1,0)</f>
        <v>1</v>
      </c>
      <c r="O49" s="44" t="n">
        <f aca="false">IF(A49&lt;Inputs!$B$9+Inputs!$D$31,0,Inputs!$B$31*Inputs!$B$23*MIN(1,(A49-Inputs!$B$9-Inputs!$D$31+1)/(Inputs!$B$10-Inputs!$B$9+1)))</f>
        <v>42.0952380952381</v>
      </c>
      <c r="P49" s="40" t="n">
        <f aca="false">O49*Inputs!$B$4</f>
        <v>1852190.47619048</v>
      </c>
      <c r="Q49" s="40" t="n">
        <f aca="false">P49*Inputs!$C$31</f>
        <v>463047.619047619</v>
      </c>
      <c r="R49" s="40" t="n">
        <f aca="false">Q49-$B49</f>
        <v>68047.6190476191</v>
      </c>
      <c r="S49" s="40" t="n">
        <f aca="false">S48+R49</f>
        <v>-7143571.42857142</v>
      </c>
      <c r="T49" s="45" t="n">
        <f aca="false">IF(R49&gt;=0,1,0)</f>
        <v>1</v>
      </c>
    </row>
    <row r="50" customFormat="false" ht="15" hidden="false" customHeight="true" outlineLevel="0" collapsed="false">
      <c r="A50" s="16" t="n">
        <v>46</v>
      </c>
      <c r="B50" s="46" t="n">
        <f aca="false">IF(A50&lt;=12,INDEX(Budget_8M!$C$44:$N$44,A50),Inputs!$B$24)</f>
        <v>395000</v>
      </c>
      <c r="C50" s="44" t="n">
        <f aca="false">IF(A50&lt;Inputs!$B$9+Inputs!$D$29,0,Inputs!$B$29*Inputs!$B$23*MIN(1,(A50-Inputs!$B$9-Inputs!$D$29+1)/(Inputs!$B$10-Inputs!$B$9+1)))</f>
        <v>105.238095238095</v>
      </c>
      <c r="D50" s="40" t="n">
        <f aca="false">C50*Inputs!$B$4</f>
        <v>4630476.19047619</v>
      </c>
      <c r="E50" s="40" t="n">
        <f aca="false">D50*Inputs!$C$29</f>
        <v>1389142.85714286</v>
      </c>
      <c r="F50" s="40" t="n">
        <f aca="false">E50-$B50</f>
        <v>994142.857142857</v>
      </c>
      <c r="G50" s="40" t="n">
        <f aca="false">G49+F50</f>
        <v>24411714.2857143</v>
      </c>
      <c r="H50" s="45" t="n">
        <f aca="false">IF(F50&gt;=0,1,0)</f>
        <v>1</v>
      </c>
      <c r="I50" s="44" t="n">
        <f aca="false">IF(A50&lt;Inputs!$B$9+Inputs!$D$30,0,Inputs!$B$30*Inputs!$B$23*MIN(1,(A50-Inputs!$B$9-Inputs!$D$30+1)/(Inputs!$B$10-Inputs!$B$9+1)))</f>
        <v>73.6666666666667</v>
      </c>
      <c r="J50" s="40" t="n">
        <f aca="false">I50*Inputs!$B$4</f>
        <v>3241333.33333333</v>
      </c>
      <c r="K50" s="40" t="n">
        <f aca="false">J50*Inputs!$C$30</f>
        <v>972400</v>
      </c>
      <c r="L50" s="40" t="n">
        <f aca="false">K50-$B50</f>
        <v>577400</v>
      </c>
      <c r="M50" s="40" t="n">
        <f aca="false">M49+L50</f>
        <v>10659200</v>
      </c>
      <c r="N50" s="45" t="n">
        <f aca="false">IF(L50&gt;=0,1,0)</f>
        <v>1</v>
      </c>
      <c r="O50" s="44" t="n">
        <f aca="false">IF(A50&lt;Inputs!$B$9+Inputs!$D$31,0,Inputs!$B$31*Inputs!$B$23*MIN(1,(A50-Inputs!$B$9-Inputs!$D$31+1)/(Inputs!$B$10-Inputs!$B$9+1)))</f>
        <v>42.0952380952381</v>
      </c>
      <c r="P50" s="40" t="n">
        <f aca="false">O50*Inputs!$B$4</f>
        <v>1852190.47619048</v>
      </c>
      <c r="Q50" s="40" t="n">
        <f aca="false">P50*Inputs!$C$31</f>
        <v>463047.619047619</v>
      </c>
      <c r="R50" s="40" t="n">
        <f aca="false">Q50-$B50</f>
        <v>68047.6190476191</v>
      </c>
      <c r="S50" s="40" t="n">
        <f aca="false">S49+R50</f>
        <v>-7075523.8095238</v>
      </c>
      <c r="T50" s="45" t="n">
        <f aca="false">IF(R50&gt;=0,1,0)</f>
        <v>1</v>
      </c>
    </row>
    <row r="51" customFormat="false" ht="15" hidden="false" customHeight="true" outlineLevel="0" collapsed="false">
      <c r="A51" s="16" t="n">
        <v>47</v>
      </c>
      <c r="B51" s="46" t="n">
        <f aca="false">IF(A51&lt;=12,INDEX(Budget_8M!$C$44:$N$44,A51),Inputs!$B$24)</f>
        <v>395000</v>
      </c>
      <c r="C51" s="44" t="n">
        <f aca="false">IF(A51&lt;Inputs!$B$9+Inputs!$D$29,0,Inputs!$B$29*Inputs!$B$23*MIN(1,(A51-Inputs!$B$9-Inputs!$D$29+1)/(Inputs!$B$10-Inputs!$B$9+1)))</f>
        <v>105.238095238095</v>
      </c>
      <c r="D51" s="40" t="n">
        <f aca="false">C51*Inputs!$B$4</f>
        <v>4630476.19047619</v>
      </c>
      <c r="E51" s="40" t="n">
        <f aca="false">D51*Inputs!$C$29</f>
        <v>1389142.85714286</v>
      </c>
      <c r="F51" s="40" t="n">
        <f aca="false">E51-$B51</f>
        <v>994142.857142857</v>
      </c>
      <c r="G51" s="40" t="n">
        <f aca="false">G50+F51</f>
        <v>25405857.1428571</v>
      </c>
      <c r="H51" s="45" t="n">
        <f aca="false">IF(F51&gt;=0,1,0)</f>
        <v>1</v>
      </c>
      <c r="I51" s="44" t="n">
        <f aca="false">IF(A51&lt;Inputs!$B$9+Inputs!$D$30,0,Inputs!$B$30*Inputs!$B$23*MIN(1,(A51-Inputs!$B$9-Inputs!$D$30+1)/(Inputs!$B$10-Inputs!$B$9+1)))</f>
        <v>73.6666666666667</v>
      </c>
      <c r="J51" s="40" t="n">
        <f aca="false">I51*Inputs!$B$4</f>
        <v>3241333.33333333</v>
      </c>
      <c r="K51" s="40" t="n">
        <f aca="false">J51*Inputs!$C$30</f>
        <v>972400</v>
      </c>
      <c r="L51" s="40" t="n">
        <f aca="false">K51-$B51</f>
        <v>577400</v>
      </c>
      <c r="M51" s="40" t="n">
        <f aca="false">M50+L51</f>
        <v>11236600</v>
      </c>
      <c r="N51" s="45" t="n">
        <f aca="false">IF(L51&gt;=0,1,0)</f>
        <v>1</v>
      </c>
      <c r="O51" s="44" t="n">
        <f aca="false">IF(A51&lt;Inputs!$B$9+Inputs!$D$31,0,Inputs!$B$31*Inputs!$B$23*MIN(1,(A51-Inputs!$B$9-Inputs!$D$31+1)/(Inputs!$B$10-Inputs!$B$9+1)))</f>
        <v>42.0952380952381</v>
      </c>
      <c r="P51" s="40" t="n">
        <f aca="false">O51*Inputs!$B$4</f>
        <v>1852190.47619048</v>
      </c>
      <c r="Q51" s="40" t="n">
        <f aca="false">P51*Inputs!$C$31</f>
        <v>463047.619047619</v>
      </c>
      <c r="R51" s="40" t="n">
        <f aca="false">Q51-$B51</f>
        <v>68047.6190476191</v>
      </c>
      <c r="S51" s="40" t="n">
        <f aca="false">S50+R51</f>
        <v>-7007476.19047618</v>
      </c>
      <c r="T51" s="45" t="n">
        <f aca="false">IF(R51&gt;=0,1,0)</f>
        <v>1</v>
      </c>
    </row>
    <row r="52" customFormat="false" ht="15" hidden="false" customHeight="true" outlineLevel="0" collapsed="false">
      <c r="A52" s="16" t="n">
        <v>48</v>
      </c>
      <c r="B52" s="46" t="n">
        <f aca="false">IF(A52&lt;=12,INDEX(Budget_8M!$C$44:$N$44,A52),Inputs!$B$24)</f>
        <v>395000</v>
      </c>
      <c r="C52" s="44" t="n">
        <f aca="false">IF(A52&lt;Inputs!$B$9+Inputs!$D$29,0,Inputs!$B$29*Inputs!$B$23*MIN(1,(A52-Inputs!$B$9-Inputs!$D$29+1)/(Inputs!$B$10-Inputs!$B$9+1)))</f>
        <v>105.238095238095</v>
      </c>
      <c r="D52" s="40" t="n">
        <f aca="false">C52*Inputs!$B$4</f>
        <v>4630476.19047619</v>
      </c>
      <c r="E52" s="40" t="n">
        <f aca="false">D52*Inputs!$C$29</f>
        <v>1389142.85714286</v>
      </c>
      <c r="F52" s="40" t="n">
        <f aca="false">E52-$B52</f>
        <v>994142.857142857</v>
      </c>
      <c r="G52" s="40" t="n">
        <f aca="false">G51+F52</f>
        <v>26400000</v>
      </c>
      <c r="H52" s="45" t="n">
        <f aca="false">IF(F52&gt;=0,1,0)</f>
        <v>1</v>
      </c>
      <c r="I52" s="44" t="n">
        <f aca="false">IF(A52&lt;Inputs!$B$9+Inputs!$D$30,0,Inputs!$B$30*Inputs!$B$23*MIN(1,(A52-Inputs!$B$9-Inputs!$D$30+1)/(Inputs!$B$10-Inputs!$B$9+1)))</f>
        <v>73.6666666666667</v>
      </c>
      <c r="J52" s="40" t="n">
        <f aca="false">I52*Inputs!$B$4</f>
        <v>3241333.33333333</v>
      </c>
      <c r="K52" s="40" t="n">
        <f aca="false">J52*Inputs!$C$30</f>
        <v>972400</v>
      </c>
      <c r="L52" s="40" t="n">
        <f aca="false">K52-$B52</f>
        <v>577400</v>
      </c>
      <c r="M52" s="40" t="n">
        <f aca="false">M51+L52</f>
        <v>11814000</v>
      </c>
      <c r="N52" s="45" t="n">
        <f aca="false">IF(L52&gt;=0,1,0)</f>
        <v>1</v>
      </c>
      <c r="O52" s="44" t="n">
        <f aca="false">IF(A52&lt;Inputs!$B$9+Inputs!$D$31,0,Inputs!$B$31*Inputs!$B$23*MIN(1,(A52-Inputs!$B$9-Inputs!$D$31+1)/(Inputs!$B$10-Inputs!$B$9+1)))</f>
        <v>42.0952380952381</v>
      </c>
      <c r="P52" s="40" t="n">
        <f aca="false">O52*Inputs!$B$4</f>
        <v>1852190.47619048</v>
      </c>
      <c r="Q52" s="40" t="n">
        <f aca="false">P52*Inputs!$C$31</f>
        <v>463047.619047619</v>
      </c>
      <c r="R52" s="40" t="n">
        <f aca="false">Q52-$B52</f>
        <v>68047.6190476191</v>
      </c>
      <c r="S52" s="40" t="n">
        <f aca="false">S51+R52</f>
        <v>-6939428.57142856</v>
      </c>
      <c r="T52" s="45" t="n">
        <f aca="false">IF(R52&gt;=0,1,0)</f>
        <v>1</v>
      </c>
    </row>
    <row r="53" customFormat="false" ht="15" hidden="false" customHeight="true" outlineLevel="0" collapsed="false">
      <c r="A53" s="16" t="n">
        <v>49</v>
      </c>
      <c r="B53" s="46" t="n">
        <f aca="false">IF(A53&lt;=12,INDEX(Budget_8M!$C$44:$N$44,A53),Inputs!$B$24)</f>
        <v>395000</v>
      </c>
      <c r="C53" s="44" t="n">
        <f aca="false">IF(A53&lt;Inputs!$B$9+Inputs!$D$29,0,Inputs!$B$29*Inputs!$B$23*MIN(1,(A53-Inputs!$B$9-Inputs!$D$29+1)/(Inputs!$B$10-Inputs!$B$9+1)))</f>
        <v>105.238095238095</v>
      </c>
      <c r="D53" s="40" t="n">
        <f aca="false">C53*Inputs!$B$4</f>
        <v>4630476.19047619</v>
      </c>
      <c r="E53" s="40" t="n">
        <f aca="false">D53*Inputs!$C$29</f>
        <v>1389142.85714286</v>
      </c>
      <c r="F53" s="40" t="n">
        <f aca="false">E53-$B53</f>
        <v>994142.857142857</v>
      </c>
      <c r="G53" s="40" t="n">
        <f aca="false">G52+F53</f>
        <v>27394142.8571429</v>
      </c>
      <c r="H53" s="45" t="n">
        <f aca="false">IF(F53&gt;=0,1,0)</f>
        <v>1</v>
      </c>
      <c r="I53" s="44" t="n">
        <f aca="false">IF(A53&lt;Inputs!$B$9+Inputs!$D$30,0,Inputs!$B$30*Inputs!$B$23*MIN(1,(A53-Inputs!$B$9-Inputs!$D$30+1)/(Inputs!$B$10-Inputs!$B$9+1)))</f>
        <v>73.6666666666667</v>
      </c>
      <c r="J53" s="40" t="n">
        <f aca="false">I53*Inputs!$B$4</f>
        <v>3241333.33333333</v>
      </c>
      <c r="K53" s="40" t="n">
        <f aca="false">J53*Inputs!$C$30</f>
        <v>972400</v>
      </c>
      <c r="L53" s="40" t="n">
        <f aca="false">K53-$B53</f>
        <v>577400</v>
      </c>
      <c r="M53" s="40" t="n">
        <f aca="false">M52+L53</f>
        <v>12391400</v>
      </c>
      <c r="N53" s="45" t="n">
        <f aca="false">IF(L53&gt;=0,1,0)</f>
        <v>1</v>
      </c>
      <c r="O53" s="44" t="n">
        <f aca="false">IF(A53&lt;Inputs!$B$9+Inputs!$D$31,0,Inputs!$B$31*Inputs!$B$23*MIN(1,(A53-Inputs!$B$9-Inputs!$D$31+1)/(Inputs!$B$10-Inputs!$B$9+1)))</f>
        <v>42.0952380952381</v>
      </c>
      <c r="P53" s="40" t="n">
        <f aca="false">O53*Inputs!$B$4</f>
        <v>1852190.47619048</v>
      </c>
      <c r="Q53" s="40" t="n">
        <f aca="false">P53*Inputs!$C$31</f>
        <v>463047.619047619</v>
      </c>
      <c r="R53" s="40" t="n">
        <f aca="false">Q53-$B53</f>
        <v>68047.6190476191</v>
      </c>
      <c r="S53" s="40" t="n">
        <f aca="false">S52+R53</f>
        <v>-6871380.95238094</v>
      </c>
      <c r="T53" s="45" t="n">
        <f aca="false">IF(R53&gt;=0,1,0)</f>
        <v>1</v>
      </c>
    </row>
    <row r="54" customFormat="false" ht="15" hidden="false" customHeight="true" outlineLevel="0" collapsed="false">
      <c r="A54" s="16" t="n">
        <v>50</v>
      </c>
      <c r="B54" s="46" t="n">
        <f aca="false">IF(A54&lt;=12,INDEX(Budget_8M!$C$44:$N$44,A54),Inputs!$B$24)</f>
        <v>395000</v>
      </c>
      <c r="C54" s="44" t="n">
        <f aca="false">IF(A54&lt;Inputs!$B$9+Inputs!$D$29,0,Inputs!$B$29*Inputs!$B$23*MIN(1,(A54-Inputs!$B$9-Inputs!$D$29+1)/(Inputs!$B$10-Inputs!$B$9+1)))</f>
        <v>105.238095238095</v>
      </c>
      <c r="D54" s="40" t="n">
        <f aca="false">C54*Inputs!$B$4</f>
        <v>4630476.19047619</v>
      </c>
      <c r="E54" s="40" t="n">
        <f aca="false">D54*Inputs!$C$29</f>
        <v>1389142.85714286</v>
      </c>
      <c r="F54" s="40" t="n">
        <f aca="false">E54-$B54</f>
        <v>994142.857142857</v>
      </c>
      <c r="G54" s="40" t="n">
        <f aca="false">G53+F54</f>
        <v>28388285.7142857</v>
      </c>
      <c r="H54" s="45" t="n">
        <f aca="false">IF(F54&gt;=0,1,0)</f>
        <v>1</v>
      </c>
      <c r="I54" s="44" t="n">
        <f aca="false">IF(A54&lt;Inputs!$B$9+Inputs!$D$30,0,Inputs!$B$30*Inputs!$B$23*MIN(1,(A54-Inputs!$B$9-Inputs!$D$30+1)/(Inputs!$B$10-Inputs!$B$9+1)))</f>
        <v>73.6666666666667</v>
      </c>
      <c r="J54" s="40" t="n">
        <f aca="false">I54*Inputs!$B$4</f>
        <v>3241333.33333333</v>
      </c>
      <c r="K54" s="40" t="n">
        <f aca="false">J54*Inputs!$C$30</f>
        <v>972400</v>
      </c>
      <c r="L54" s="40" t="n">
        <f aca="false">K54-$B54</f>
        <v>577400</v>
      </c>
      <c r="M54" s="40" t="n">
        <f aca="false">M53+L54</f>
        <v>12968800</v>
      </c>
      <c r="N54" s="45" t="n">
        <f aca="false">IF(L54&gt;=0,1,0)</f>
        <v>1</v>
      </c>
      <c r="O54" s="44" t="n">
        <f aca="false">IF(A54&lt;Inputs!$B$9+Inputs!$D$31,0,Inputs!$B$31*Inputs!$B$23*MIN(1,(A54-Inputs!$B$9-Inputs!$D$31+1)/(Inputs!$B$10-Inputs!$B$9+1)))</f>
        <v>42.0952380952381</v>
      </c>
      <c r="P54" s="40" t="n">
        <f aca="false">O54*Inputs!$B$4</f>
        <v>1852190.47619048</v>
      </c>
      <c r="Q54" s="40" t="n">
        <f aca="false">P54*Inputs!$C$31</f>
        <v>463047.619047619</v>
      </c>
      <c r="R54" s="40" t="n">
        <f aca="false">Q54-$B54</f>
        <v>68047.6190476191</v>
      </c>
      <c r="S54" s="40" t="n">
        <f aca="false">S53+R54</f>
        <v>-6803333.33333332</v>
      </c>
      <c r="T54" s="45" t="n">
        <f aca="false">IF(R54&gt;=0,1,0)</f>
        <v>1</v>
      </c>
    </row>
    <row r="55" customFormat="false" ht="15" hidden="false" customHeight="true" outlineLevel="0" collapsed="false">
      <c r="A55" s="16" t="n">
        <v>51</v>
      </c>
      <c r="B55" s="46" t="n">
        <f aca="false">IF(A55&lt;=12,INDEX(Budget_8M!$C$44:$N$44,A55),Inputs!$B$24)</f>
        <v>395000</v>
      </c>
      <c r="C55" s="44" t="n">
        <f aca="false">IF(A55&lt;Inputs!$B$9+Inputs!$D$29,0,Inputs!$B$29*Inputs!$B$23*MIN(1,(A55-Inputs!$B$9-Inputs!$D$29+1)/(Inputs!$B$10-Inputs!$B$9+1)))</f>
        <v>105.238095238095</v>
      </c>
      <c r="D55" s="40" t="n">
        <f aca="false">C55*Inputs!$B$4</f>
        <v>4630476.19047619</v>
      </c>
      <c r="E55" s="40" t="n">
        <f aca="false">D55*Inputs!$C$29</f>
        <v>1389142.85714286</v>
      </c>
      <c r="F55" s="40" t="n">
        <f aca="false">E55-$B55</f>
        <v>994142.857142857</v>
      </c>
      <c r="G55" s="40" t="n">
        <f aca="false">G54+F55</f>
        <v>29382428.5714286</v>
      </c>
      <c r="H55" s="45" t="n">
        <f aca="false">IF(F55&gt;=0,1,0)</f>
        <v>1</v>
      </c>
      <c r="I55" s="44" t="n">
        <f aca="false">IF(A55&lt;Inputs!$B$9+Inputs!$D$30,0,Inputs!$B$30*Inputs!$B$23*MIN(1,(A55-Inputs!$B$9-Inputs!$D$30+1)/(Inputs!$B$10-Inputs!$B$9+1)))</f>
        <v>73.6666666666667</v>
      </c>
      <c r="J55" s="40" t="n">
        <f aca="false">I55*Inputs!$B$4</f>
        <v>3241333.33333333</v>
      </c>
      <c r="K55" s="40" t="n">
        <f aca="false">J55*Inputs!$C$30</f>
        <v>972400</v>
      </c>
      <c r="L55" s="40" t="n">
        <f aca="false">K55-$B55</f>
        <v>577400</v>
      </c>
      <c r="M55" s="40" t="n">
        <f aca="false">M54+L55</f>
        <v>13546200</v>
      </c>
      <c r="N55" s="45" t="n">
        <f aca="false">IF(L55&gt;=0,1,0)</f>
        <v>1</v>
      </c>
      <c r="O55" s="44" t="n">
        <f aca="false">IF(A55&lt;Inputs!$B$9+Inputs!$D$31,0,Inputs!$B$31*Inputs!$B$23*MIN(1,(A55-Inputs!$B$9-Inputs!$D$31+1)/(Inputs!$B$10-Inputs!$B$9+1)))</f>
        <v>42.0952380952381</v>
      </c>
      <c r="P55" s="40" t="n">
        <f aca="false">O55*Inputs!$B$4</f>
        <v>1852190.47619048</v>
      </c>
      <c r="Q55" s="40" t="n">
        <f aca="false">P55*Inputs!$C$31</f>
        <v>463047.619047619</v>
      </c>
      <c r="R55" s="40" t="n">
        <f aca="false">Q55-$B55</f>
        <v>68047.6190476191</v>
      </c>
      <c r="S55" s="40" t="n">
        <f aca="false">S54+R55</f>
        <v>-6735285.7142857</v>
      </c>
      <c r="T55" s="45" t="n">
        <f aca="false">IF(R55&gt;=0,1,0)</f>
        <v>1</v>
      </c>
    </row>
    <row r="56" customFormat="false" ht="15" hidden="false" customHeight="true" outlineLevel="0" collapsed="false">
      <c r="A56" s="16" t="n">
        <v>52</v>
      </c>
      <c r="B56" s="46" t="n">
        <f aca="false">IF(A56&lt;=12,INDEX(Budget_8M!$C$44:$N$44,A56),Inputs!$B$24)</f>
        <v>395000</v>
      </c>
      <c r="C56" s="44" t="n">
        <f aca="false">IF(A56&lt;Inputs!$B$9+Inputs!$D$29,0,Inputs!$B$29*Inputs!$B$23*MIN(1,(A56-Inputs!$B$9-Inputs!$D$29+1)/(Inputs!$B$10-Inputs!$B$9+1)))</f>
        <v>105.238095238095</v>
      </c>
      <c r="D56" s="40" t="n">
        <f aca="false">C56*Inputs!$B$4</f>
        <v>4630476.19047619</v>
      </c>
      <c r="E56" s="40" t="n">
        <f aca="false">D56*Inputs!$C$29</f>
        <v>1389142.85714286</v>
      </c>
      <c r="F56" s="40" t="n">
        <f aca="false">E56-$B56</f>
        <v>994142.857142857</v>
      </c>
      <c r="G56" s="40" t="n">
        <f aca="false">G55+F56</f>
        <v>30376571.4285714</v>
      </c>
      <c r="H56" s="45" t="n">
        <f aca="false">IF(F56&gt;=0,1,0)</f>
        <v>1</v>
      </c>
      <c r="I56" s="44" t="n">
        <f aca="false">IF(A56&lt;Inputs!$B$9+Inputs!$D$30,0,Inputs!$B$30*Inputs!$B$23*MIN(1,(A56-Inputs!$B$9-Inputs!$D$30+1)/(Inputs!$B$10-Inputs!$B$9+1)))</f>
        <v>73.6666666666667</v>
      </c>
      <c r="J56" s="40" t="n">
        <f aca="false">I56*Inputs!$B$4</f>
        <v>3241333.33333333</v>
      </c>
      <c r="K56" s="40" t="n">
        <f aca="false">J56*Inputs!$C$30</f>
        <v>972400</v>
      </c>
      <c r="L56" s="40" t="n">
        <f aca="false">K56-$B56</f>
        <v>577400</v>
      </c>
      <c r="M56" s="40" t="n">
        <f aca="false">M55+L56</f>
        <v>14123600</v>
      </c>
      <c r="N56" s="45" t="n">
        <f aca="false">IF(L56&gt;=0,1,0)</f>
        <v>1</v>
      </c>
      <c r="O56" s="44" t="n">
        <f aca="false">IF(A56&lt;Inputs!$B$9+Inputs!$D$31,0,Inputs!$B$31*Inputs!$B$23*MIN(1,(A56-Inputs!$B$9-Inputs!$D$31+1)/(Inputs!$B$10-Inputs!$B$9+1)))</f>
        <v>42.0952380952381</v>
      </c>
      <c r="P56" s="40" t="n">
        <f aca="false">O56*Inputs!$B$4</f>
        <v>1852190.47619048</v>
      </c>
      <c r="Q56" s="40" t="n">
        <f aca="false">P56*Inputs!$C$31</f>
        <v>463047.619047619</v>
      </c>
      <c r="R56" s="40" t="n">
        <f aca="false">Q56-$B56</f>
        <v>68047.6190476191</v>
      </c>
      <c r="S56" s="40" t="n">
        <f aca="false">S55+R56</f>
        <v>-6667238.09523808</v>
      </c>
      <c r="T56" s="45" t="n">
        <f aca="false">IF(R56&gt;=0,1,0)</f>
        <v>1</v>
      </c>
    </row>
    <row r="57" customFormat="false" ht="15" hidden="false" customHeight="true" outlineLevel="0" collapsed="false">
      <c r="A57" s="16" t="n">
        <v>53</v>
      </c>
      <c r="B57" s="46" t="n">
        <f aca="false">IF(A57&lt;=12,INDEX(Budget_8M!$C$44:$N$44,A57),Inputs!$B$24)</f>
        <v>395000</v>
      </c>
      <c r="C57" s="44" t="n">
        <f aca="false">IF(A57&lt;Inputs!$B$9+Inputs!$D$29,0,Inputs!$B$29*Inputs!$B$23*MIN(1,(A57-Inputs!$B$9-Inputs!$D$29+1)/(Inputs!$B$10-Inputs!$B$9+1)))</f>
        <v>105.238095238095</v>
      </c>
      <c r="D57" s="40" t="n">
        <f aca="false">C57*Inputs!$B$4</f>
        <v>4630476.19047619</v>
      </c>
      <c r="E57" s="40" t="n">
        <f aca="false">D57*Inputs!$C$29</f>
        <v>1389142.85714286</v>
      </c>
      <c r="F57" s="40" t="n">
        <f aca="false">E57-$B57</f>
        <v>994142.857142857</v>
      </c>
      <c r="G57" s="40" t="n">
        <f aca="false">G56+F57</f>
        <v>31370714.2857143</v>
      </c>
      <c r="H57" s="45" t="n">
        <f aca="false">IF(F57&gt;=0,1,0)</f>
        <v>1</v>
      </c>
      <c r="I57" s="44" t="n">
        <f aca="false">IF(A57&lt;Inputs!$B$9+Inputs!$D$30,0,Inputs!$B$30*Inputs!$B$23*MIN(1,(A57-Inputs!$B$9-Inputs!$D$30+1)/(Inputs!$B$10-Inputs!$B$9+1)))</f>
        <v>73.6666666666667</v>
      </c>
      <c r="J57" s="40" t="n">
        <f aca="false">I57*Inputs!$B$4</f>
        <v>3241333.33333333</v>
      </c>
      <c r="K57" s="40" t="n">
        <f aca="false">J57*Inputs!$C$30</f>
        <v>972400</v>
      </c>
      <c r="L57" s="40" t="n">
        <f aca="false">K57-$B57</f>
        <v>577400</v>
      </c>
      <c r="M57" s="40" t="n">
        <f aca="false">M56+L57</f>
        <v>14701000</v>
      </c>
      <c r="N57" s="45" t="n">
        <f aca="false">IF(L57&gt;=0,1,0)</f>
        <v>1</v>
      </c>
      <c r="O57" s="44" t="n">
        <f aca="false">IF(A57&lt;Inputs!$B$9+Inputs!$D$31,0,Inputs!$B$31*Inputs!$B$23*MIN(1,(A57-Inputs!$B$9-Inputs!$D$31+1)/(Inputs!$B$10-Inputs!$B$9+1)))</f>
        <v>42.0952380952381</v>
      </c>
      <c r="P57" s="40" t="n">
        <f aca="false">O57*Inputs!$B$4</f>
        <v>1852190.47619048</v>
      </c>
      <c r="Q57" s="40" t="n">
        <f aca="false">P57*Inputs!$C$31</f>
        <v>463047.619047619</v>
      </c>
      <c r="R57" s="40" t="n">
        <f aca="false">Q57-$B57</f>
        <v>68047.6190476191</v>
      </c>
      <c r="S57" s="40" t="n">
        <f aca="false">S56+R57</f>
        <v>-6599190.47619046</v>
      </c>
      <c r="T57" s="45" t="n">
        <f aca="false">IF(R57&gt;=0,1,0)</f>
        <v>1</v>
      </c>
    </row>
    <row r="58" customFormat="false" ht="15" hidden="false" customHeight="true" outlineLevel="0" collapsed="false">
      <c r="A58" s="16" t="n">
        <v>54</v>
      </c>
      <c r="B58" s="46" t="n">
        <f aca="false">IF(A58&lt;=12,INDEX(Budget_8M!$C$44:$N$44,A58),Inputs!$B$24)</f>
        <v>395000</v>
      </c>
      <c r="C58" s="44" t="n">
        <f aca="false">IF(A58&lt;Inputs!$B$9+Inputs!$D$29,0,Inputs!$B$29*Inputs!$B$23*MIN(1,(A58-Inputs!$B$9-Inputs!$D$29+1)/(Inputs!$B$10-Inputs!$B$9+1)))</f>
        <v>105.238095238095</v>
      </c>
      <c r="D58" s="40" t="n">
        <f aca="false">C58*Inputs!$B$4</f>
        <v>4630476.19047619</v>
      </c>
      <c r="E58" s="40" t="n">
        <f aca="false">D58*Inputs!$C$29</f>
        <v>1389142.85714286</v>
      </c>
      <c r="F58" s="40" t="n">
        <f aca="false">E58-$B58</f>
        <v>994142.857142857</v>
      </c>
      <c r="G58" s="40" t="n">
        <f aca="false">G57+F58</f>
        <v>32364857.1428572</v>
      </c>
      <c r="H58" s="45" t="n">
        <f aca="false">IF(F58&gt;=0,1,0)</f>
        <v>1</v>
      </c>
      <c r="I58" s="44" t="n">
        <f aca="false">IF(A58&lt;Inputs!$B$9+Inputs!$D$30,0,Inputs!$B$30*Inputs!$B$23*MIN(1,(A58-Inputs!$B$9-Inputs!$D$30+1)/(Inputs!$B$10-Inputs!$B$9+1)))</f>
        <v>73.6666666666667</v>
      </c>
      <c r="J58" s="40" t="n">
        <f aca="false">I58*Inputs!$B$4</f>
        <v>3241333.33333333</v>
      </c>
      <c r="K58" s="40" t="n">
        <f aca="false">J58*Inputs!$C$30</f>
        <v>972400</v>
      </c>
      <c r="L58" s="40" t="n">
        <f aca="false">K58-$B58</f>
        <v>577400</v>
      </c>
      <c r="M58" s="40" t="n">
        <f aca="false">M57+L58</f>
        <v>15278400</v>
      </c>
      <c r="N58" s="45" t="n">
        <f aca="false">IF(L58&gt;=0,1,0)</f>
        <v>1</v>
      </c>
      <c r="O58" s="44" t="n">
        <f aca="false">IF(A58&lt;Inputs!$B$9+Inputs!$D$31,0,Inputs!$B$31*Inputs!$B$23*MIN(1,(A58-Inputs!$B$9-Inputs!$D$31+1)/(Inputs!$B$10-Inputs!$B$9+1)))</f>
        <v>42.0952380952381</v>
      </c>
      <c r="P58" s="40" t="n">
        <f aca="false">O58*Inputs!$B$4</f>
        <v>1852190.47619048</v>
      </c>
      <c r="Q58" s="40" t="n">
        <f aca="false">P58*Inputs!$C$31</f>
        <v>463047.619047619</v>
      </c>
      <c r="R58" s="40" t="n">
        <f aca="false">Q58-$B58</f>
        <v>68047.6190476191</v>
      </c>
      <c r="S58" s="40" t="n">
        <f aca="false">S57+R58</f>
        <v>-6531142.85714284</v>
      </c>
      <c r="T58" s="45" t="n">
        <f aca="false">IF(R58&gt;=0,1,0)</f>
        <v>1</v>
      </c>
    </row>
    <row r="59" customFormat="false" ht="15" hidden="false" customHeight="true" outlineLevel="0" collapsed="false">
      <c r="A59" s="16" t="n">
        <v>55</v>
      </c>
      <c r="B59" s="46" t="n">
        <f aca="false">IF(A59&lt;=12,INDEX(Budget_8M!$C$44:$N$44,A59),Inputs!$B$24)</f>
        <v>395000</v>
      </c>
      <c r="C59" s="44" t="n">
        <f aca="false">IF(A59&lt;Inputs!$B$9+Inputs!$D$29,0,Inputs!$B$29*Inputs!$B$23*MIN(1,(A59-Inputs!$B$9-Inputs!$D$29+1)/(Inputs!$B$10-Inputs!$B$9+1)))</f>
        <v>105.238095238095</v>
      </c>
      <c r="D59" s="40" t="n">
        <f aca="false">C59*Inputs!$B$4</f>
        <v>4630476.19047619</v>
      </c>
      <c r="E59" s="40" t="n">
        <f aca="false">D59*Inputs!$C$29</f>
        <v>1389142.85714286</v>
      </c>
      <c r="F59" s="40" t="n">
        <f aca="false">E59-$B59</f>
        <v>994142.857142857</v>
      </c>
      <c r="G59" s="40" t="n">
        <f aca="false">G58+F59</f>
        <v>33359000</v>
      </c>
      <c r="H59" s="45" t="n">
        <f aca="false">IF(F59&gt;=0,1,0)</f>
        <v>1</v>
      </c>
      <c r="I59" s="44" t="n">
        <f aca="false">IF(A59&lt;Inputs!$B$9+Inputs!$D$30,0,Inputs!$B$30*Inputs!$B$23*MIN(1,(A59-Inputs!$B$9-Inputs!$D$30+1)/(Inputs!$B$10-Inputs!$B$9+1)))</f>
        <v>73.6666666666667</v>
      </c>
      <c r="J59" s="40" t="n">
        <f aca="false">I59*Inputs!$B$4</f>
        <v>3241333.33333333</v>
      </c>
      <c r="K59" s="40" t="n">
        <f aca="false">J59*Inputs!$C$30</f>
        <v>972400</v>
      </c>
      <c r="L59" s="40" t="n">
        <f aca="false">K59-$B59</f>
        <v>577400</v>
      </c>
      <c r="M59" s="40" t="n">
        <f aca="false">M58+L59</f>
        <v>15855800</v>
      </c>
      <c r="N59" s="45" t="n">
        <f aca="false">IF(L59&gt;=0,1,0)</f>
        <v>1</v>
      </c>
      <c r="O59" s="44" t="n">
        <f aca="false">IF(A59&lt;Inputs!$B$9+Inputs!$D$31,0,Inputs!$B$31*Inputs!$B$23*MIN(1,(A59-Inputs!$B$9-Inputs!$D$31+1)/(Inputs!$B$10-Inputs!$B$9+1)))</f>
        <v>42.0952380952381</v>
      </c>
      <c r="P59" s="40" t="n">
        <f aca="false">O59*Inputs!$B$4</f>
        <v>1852190.47619048</v>
      </c>
      <c r="Q59" s="40" t="n">
        <f aca="false">P59*Inputs!$C$31</f>
        <v>463047.619047619</v>
      </c>
      <c r="R59" s="40" t="n">
        <f aca="false">Q59-$B59</f>
        <v>68047.6190476191</v>
      </c>
      <c r="S59" s="40" t="n">
        <f aca="false">S58+R59</f>
        <v>-6463095.23809522</v>
      </c>
      <c r="T59" s="45" t="n">
        <f aca="false">IF(R59&gt;=0,1,0)</f>
        <v>1</v>
      </c>
    </row>
    <row r="60" customFormat="false" ht="15" hidden="false" customHeight="true" outlineLevel="0" collapsed="false">
      <c r="A60" s="16" t="n">
        <v>56</v>
      </c>
      <c r="B60" s="46" t="n">
        <f aca="false">IF(A60&lt;=12,INDEX(Budget_8M!$C$44:$N$44,A60),Inputs!$B$24)</f>
        <v>395000</v>
      </c>
      <c r="C60" s="44" t="n">
        <f aca="false">IF(A60&lt;Inputs!$B$9+Inputs!$D$29,0,Inputs!$B$29*Inputs!$B$23*MIN(1,(A60-Inputs!$B$9-Inputs!$D$29+1)/(Inputs!$B$10-Inputs!$B$9+1)))</f>
        <v>105.238095238095</v>
      </c>
      <c r="D60" s="40" t="n">
        <f aca="false">C60*Inputs!$B$4</f>
        <v>4630476.19047619</v>
      </c>
      <c r="E60" s="40" t="n">
        <f aca="false">D60*Inputs!$C$29</f>
        <v>1389142.85714286</v>
      </c>
      <c r="F60" s="40" t="n">
        <f aca="false">E60-$B60</f>
        <v>994142.857142857</v>
      </c>
      <c r="G60" s="40" t="n">
        <f aca="false">G59+F60</f>
        <v>34353142.8571429</v>
      </c>
      <c r="H60" s="45" t="n">
        <f aca="false">IF(F60&gt;=0,1,0)</f>
        <v>1</v>
      </c>
      <c r="I60" s="44" t="n">
        <f aca="false">IF(A60&lt;Inputs!$B$9+Inputs!$D$30,0,Inputs!$B$30*Inputs!$B$23*MIN(1,(A60-Inputs!$B$9-Inputs!$D$30+1)/(Inputs!$B$10-Inputs!$B$9+1)))</f>
        <v>73.6666666666667</v>
      </c>
      <c r="J60" s="40" t="n">
        <f aca="false">I60*Inputs!$B$4</f>
        <v>3241333.33333333</v>
      </c>
      <c r="K60" s="40" t="n">
        <f aca="false">J60*Inputs!$C$30</f>
        <v>972400</v>
      </c>
      <c r="L60" s="40" t="n">
        <f aca="false">K60-$B60</f>
        <v>577400</v>
      </c>
      <c r="M60" s="40" t="n">
        <f aca="false">M59+L60</f>
        <v>16433200</v>
      </c>
      <c r="N60" s="45" t="n">
        <f aca="false">IF(L60&gt;=0,1,0)</f>
        <v>1</v>
      </c>
      <c r="O60" s="44" t="n">
        <f aca="false">IF(A60&lt;Inputs!$B$9+Inputs!$D$31,0,Inputs!$B$31*Inputs!$B$23*MIN(1,(A60-Inputs!$B$9-Inputs!$D$31+1)/(Inputs!$B$10-Inputs!$B$9+1)))</f>
        <v>42.0952380952381</v>
      </c>
      <c r="P60" s="40" t="n">
        <f aca="false">O60*Inputs!$B$4</f>
        <v>1852190.47619048</v>
      </c>
      <c r="Q60" s="40" t="n">
        <f aca="false">P60*Inputs!$C$31</f>
        <v>463047.619047619</v>
      </c>
      <c r="R60" s="40" t="n">
        <f aca="false">Q60-$B60</f>
        <v>68047.6190476191</v>
      </c>
      <c r="S60" s="40" t="n">
        <f aca="false">S59+R60</f>
        <v>-6395047.6190476</v>
      </c>
      <c r="T60" s="45" t="n">
        <f aca="false">IF(R60&gt;=0,1,0)</f>
        <v>1</v>
      </c>
    </row>
    <row r="61" customFormat="false" ht="15" hidden="false" customHeight="true" outlineLevel="0" collapsed="false">
      <c r="A61" s="16" t="n">
        <v>57</v>
      </c>
      <c r="B61" s="46" t="n">
        <f aca="false">IF(A61&lt;=12,INDEX(Budget_8M!$C$44:$N$44,A61),Inputs!$B$24)</f>
        <v>395000</v>
      </c>
      <c r="C61" s="44" t="n">
        <f aca="false">IF(A61&lt;Inputs!$B$9+Inputs!$D$29,0,Inputs!$B$29*Inputs!$B$23*MIN(1,(A61-Inputs!$B$9-Inputs!$D$29+1)/(Inputs!$B$10-Inputs!$B$9+1)))</f>
        <v>105.238095238095</v>
      </c>
      <c r="D61" s="40" t="n">
        <f aca="false">C61*Inputs!$B$4</f>
        <v>4630476.19047619</v>
      </c>
      <c r="E61" s="40" t="n">
        <f aca="false">D61*Inputs!$C$29</f>
        <v>1389142.85714286</v>
      </c>
      <c r="F61" s="40" t="n">
        <f aca="false">E61-$B61</f>
        <v>994142.857142857</v>
      </c>
      <c r="G61" s="40" t="n">
        <f aca="false">G60+F61</f>
        <v>35347285.7142857</v>
      </c>
      <c r="H61" s="45" t="n">
        <f aca="false">IF(F61&gt;=0,1,0)</f>
        <v>1</v>
      </c>
      <c r="I61" s="44" t="n">
        <f aca="false">IF(A61&lt;Inputs!$B$9+Inputs!$D$30,0,Inputs!$B$30*Inputs!$B$23*MIN(1,(A61-Inputs!$B$9-Inputs!$D$30+1)/(Inputs!$B$10-Inputs!$B$9+1)))</f>
        <v>73.6666666666667</v>
      </c>
      <c r="J61" s="40" t="n">
        <f aca="false">I61*Inputs!$B$4</f>
        <v>3241333.33333333</v>
      </c>
      <c r="K61" s="40" t="n">
        <f aca="false">J61*Inputs!$C$30</f>
        <v>972400</v>
      </c>
      <c r="L61" s="40" t="n">
        <f aca="false">K61-$B61</f>
        <v>577400</v>
      </c>
      <c r="M61" s="40" t="n">
        <f aca="false">M60+L61</f>
        <v>17010600</v>
      </c>
      <c r="N61" s="45" t="n">
        <f aca="false">IF(L61&gt;=0,1,0)</f>
        <v>1</v>
      </c>
      <c r="O61" s="44" t="n">
        <f aca="false">IF(A61&lt;Inputs!$B$9+Inputs!$D$31,0,Inputs!$B$31*Inputs!$B$23*MIN(1,(A61-Inputs!$B$9-Inputs!$D$31+1)/(Inputs!$B$10-Inputs!$B$9+1)))</f>
        <v>42.0952380952381</v>
      </c>
      <c r="P61" s="40" t="n">
        <f aca="false">O61*Inputs!$B$4</f>
        <v>1852190.47619048</v>
      </c>
      <c r="Q61" s="40" t="n">
        <f aca="false">P61*Inputs!$C$31</f>
        <v>463047.619047619</v>
      </c>
      <c r="R61" s="40" t="n">
        <f aca="false">Q61-$B61</f>
        <v>68047.6190476191</v>
      </c>
      <c r="S61" s="40" t="n">
        <f aca="false">S60+R61</f>
        <v>-6326999.99999999</v>
      </c>
      <c r="T61" s="45" t="n">
        <f aca="false">IF(R61&gt;=0,1,0)</f>
        <v>1</v>
      </c>
    </row>
    <row r="62" customFormat="false" ht="15" hidden="false" customHeight="true" outlineLevel="0" collapsed="false">
      <c r="A62" s="16" t="n">
        <v>58</v>
      </c>
      <c r="B62" s="46" t="n">
        <f aca="false">IF(A62&lt;=12,INDEX(Budget_8M!$C$44:$N$44,A62),Inputs!$B$24)</f>
        <v>395000</v>
      </c>
      <c r="C62" s="44" t="n">
        <f aca="false">IF(A62&lt;Inputs!$B$9+Inputs!$D$29,0,Inputs!$B$29*Inputs!$B$23*MIN(1,(A62-Inputs!$B$9-Inputs!$D$29+1)/(Inputs!$B$10-Inputs!$B$9+1)))</f>
        <v>105.238095238095</v>
      </c>
      <c r="D62" s="40" t="n">
        <f aca="false">C62*Inputs!$B$4</f>
        <v>4630476.19047619</v>
      </c>
      <c r="E62" s="40" t="n">
        <f aca="false">D62*Inputs!$C$29</f>
        <v>1389142.85714286</v>
      </c>
      <c r="F62" s="40" t="n">
        <f aca="false">E62-$B62</f>
        <v>994142.857142857</v>
      </c>
      <c r="G62" s="40" t="n">
        <f aca="false">G61+F62</f>
        <v>36341428.5714286</v>
      </c>
      <c r="H62" s="45" t="n">
        <f aca="false">IF(F62&gt;=0,1,0)</f>
        <v>1</v>
      </c>
      <c r="I62" s="44" t="n">
        <f aca="false">IF(A62&lt;Inputs!$B$9+Inputs!$D$30,0,Inputs!$B$30*Inputs!$B$23*MIN(1,(A62-Inputs!$B$9-Inputs!$D$30+1)/(Inputs!$B$10-Inputs!$B$9+1)))</f>
        <v>73.6666666666667</v>
      </c>
      <c r="J62" s="40" t="n">
        <f aca="false">I62*Inputs!$B$4</f>
        <v>3241333.33333333</v>
      </c>
      <c r="K62" s="40" t="n">
        <f aca="false">J62*Inputs!$C$30</f>
        <v>972400</v>
      </c>
      <c r="L62" s="40" t="n">
        <f aca="false">K62-$B62</f>
        <v>577400</v>
      </c>
      <c r="M62" s="40" t="n">
        <f aca="false">M61+L62</f>
        <v>17588000</v>
      </c>
      <c r="N62" s="45" t="n">
        <f aca="false">IF(L62&gt;=0,1,0)</f>
        <v>1</v>
      </c>
      <c r="O62" s="44" t="n">
        <f aca="false">IF(A62&lt;Inputs!$B$9+Inputs!$D$31,0,Inputs!$B$31*Inputs!$B$23*MIN(1,(A62-Inputs!$B$9-Inputs!$D$31+1)/(Inputs!$B$10-Inputs!$B$9+1)))</f>
        <v>42.0952380952381</v>
      </c>
      <c r="P62" s="40" t="n">
        <f aca="false">O62*Inputs!$B$4</f>
        <v>1852190.47619048</v>
      </c>
      <c r="Q62" s="40" t="n">
        <f aca="false">P62*Inputs!$C$31</f>
        <v>463047.619047619</v>
      </c>
      <c r="R62" s="40" t="n">
        <f aca="false">Q62-$B62</f>
        <v>68047.6190476191</v>
      </c>
      <c r="S62" s="40" t="n">
        <f aca="false">S61+R62</f>
        <v>-6258952.38095237</v>
      </c>
      <c r="T62" s="45" t="n">
        <f aca="false">IF(R62&gt;=0,1,0)</f>
        <v>1</v>
      </c>
    </row>
    <row r="63" customFormat="false" ht="15" hidden="false" customHeight="true" outlineLevel="0" collapsed="false">
      <c r="A63" s="16" t="n">
        <v>59</v>
      </c>
      <c r="B63" s="46" t="n">
        <f aca="false">IF(A63&lt;=12,INDEX(Budget_8M!$C$44:$N$44,A63),Inputs!$B$24)</f>
        <v>395000</v>
      </c>
      <c r="C63" s="44" t="n">
        <f aca="false">IF(A63&lt;Inputs!$B$9+Inputs!$D$29,0,Inputs!$B$29*Inputs!$B$23*MIN(1,(A63-Inputs!$B$9-Inputs!$D$29+1)/(Inputs!$B$10-Inputs!$B$9+1)))</f>
        <v>105.238095238095</v>
      </c>
      <c r="D63" s="40" t="n">
        <f aca="false">C63*Inputs!$B$4</f>
        <v>4630476.19047619</v>
      </c>
      <c r="E63" s="40" t="n">
        <f aca="false">D63*Inputs!$C$29</f>
        <v>1389142.85714286</v>
      </c>
      <c r="F63" s="40" t="n">
        <f aca="false">E63-$B63</f>
        <v>994142.857142857</v>
      </c>
      <c r="G63" s="40" t="n">
        <f aca="false">G62+F63</f>
        <v>37335571.4285714</v>
      </c>
      <c r="H63" s="45" t="n">
        <f aca="false">IF(F63&gt;=0,1,0)</f>
        <v>1</v>
      </c>
      <c r="I63" s="44" t="n">
        <f aca="false">IF(A63&lt;Inputs!$B$9+Inputs!$D$30,0,Inputs!$B$30*Inputs!$B$23*MIN(1,(A63-Inputs!$B$9-Inputs!$D$30+1)/(Inputs!$B$10-Inputs!$B$9+1)))</f>
        <v>73.6666666666667</v>
      </c>
      <c r="J63" s="40" t="n">
        <f aca="false">I63*Inputs!$B$4</f>
        <v>3241333.33333333</v>
      </c>
      <c r="K63" s="40" t="n">
        <f aca="false">J63*Inputs!$C$30</f>
        <v>972400</v>
      </c>
      <c r="L63" s="40" t="n">
        <f aca="false">K63-$B63</f>
        <v>577400</v>
      </c>
      <c r="M63" s="40" t="n">
        <f aca="false">M62+L63</f>
        <v>18165400</v>
      </c>
      <c r="N63" s="45" t="n">
        <f aca="false">IF(L63&gt;=0,1,0)</f>
        <v>1</v>
      </c>
      <c r="O63" s="44" t="n">
        <f aca="false">IF(A63&lt;Inputs!$B$9+Inputs!$D$31,0,Inputs!$B$31*Inputs!$B$23*MIN(1,(A63-Inputs!$B$9-Inputs!$D$31+1)/(Inputs!$B$10-Inputs!$B$9+1)))</f>
        <v>42.0952380952381</v>
      </c>
      <c r="P63" s="40" t="n">
        <f aca="false">O63*Inputs!$B$4</f>
        <v>1852190.47619048</v>
      </c>
      <c r="Q63" s="40" t="n">
        <f aca="false">P63*Inputs!$C$31</f>
        <v>463047.619047619</v>
      </c>
      <c r="R63" s="40" t="n">
        <f aca="false">Q63-$B63</f>
        <v>68047.6190476191</v>
      </c>
      <c r="S63" s="40" t="n">
        <f aca="false">S62+R63</f>
        <v>-6190904.76190475</v>
      </c>
      <c r="T63" s="45" t="n">
        <f aca="false">IF(R63&gt;=0,1,0)</f>
        <v>1</v>
      </c>
    </row>
    <row r="64" customFormat="false" ht="15" hidden="false" customHeight="true" outlineLevel="0" collapsed="false">
      <c r="A64" s="16" t="n">
        <v>60</v>
      </c>
      <c r="B64" s="46" t="n">
        <f aca="false">IF(A64&lt;=12,INDEX(Budget_8M!$C$44:$N$44,A64),Inputs!$B$24)</f>
        <v>395000</v>
      </c>
      <c r="C64" s="44" t="n">
        <f aca="false">IF(A64&lt;Inputs!$B$9+Inputs!$D$29,0,Inputs!$B$29*Inputs!$B$23*MIN(1,(A64-Inputs!$B$9-Inputs!$D$29+1)/(Inputs!$B$10-Inputs!$B$9+1)))</f>
        <v>105.238095238095</v>
      </c>
      <c r="D64" s="40" t="n">
        <f aca="false">C64*Inputs!$B$4</f>
        <v>4630476.19047619</v>
      </c>
      <c r="E64" s="40" t="n">
        <f aca="false">D64*Inputs!$C$29</f>
        <v>1389142.85714286</v>
      </c>
      <c r="F64" s="40" t="n">
        <f aca="false">E64-$B64</f>
        <v>994142.857142857</v>
      </c>
      <c r="G64" s="40" t="n">
        <f aca="false">G63+F64</f>
        <v>38329714.2857143</v>
      </c>
      <c r="H64" s="45" t="n">
        <f aca="false">IF(F64&gt;=0,1,0)</f>
        <v>1</v>
      </c>
      <c r="I64" s="44" t="n">
        <f aca="false">IF(A64&lt;Inputs!$B$9+Inputs!$D$30,0,Inputs!$B$30*Inputs!$B$23*MIN(1,(A64-Inputs!$B$9-Inputs!$D$30+1)/(Inputs!$B$10-Inputs!$B$9+1)))</f>
        <v>73.6666666666667</v>
      </c>
      <c r="J64" s="40" t="n">
        <f aca="false">I64*Inputs!$B$4</f>
        <v>3241333.33333333</v>
      </c>
      <c r="K64" s="40" t="n">
        <f aca="false">J64*Inputs!$C$30</f>
        <v>972400</v>
      </c>
      <c r="L64" s="40" t="n">
        <f aca="false">K64-$B64</f>
        <v>577400</v>
      </c>
      <c r="M64" s="40" t="n">
        <f aca="false">M63+L64</f>
        <v>18742800</v>
      </c>
      <c r="N64" s="45" t="n">
        <f aca="false">IF(L64&gt;=0,1,0)</f>
        <v>1</v>
      </c>
      <c r="O64" s="44" t="n">
        <f aca="false">IF(A64&lt;Inputs!$B$9+Inputs!$D$31,0,Inputs!$B$31*Inputs!$B$23*MIN(1,(A64-Inputs!$B$9-Inputs!$D$31+1)/(Inputs!$B$10-Inputs!$B$9+1)))</f>
        <v>42.0952380952381</v>
      </c>
      <c r="P64" s="40" t="n">
        <f aca="false">O64*Inputs!$B$4</f>
        <v>1852190.47619048</v>
      </c>
      <c r="Q64" s="40" t="n">
        <f aca="false">P64*Inputs!$C$31</f>
        <v>463047.619047619</v>
      </c>
      <c r="R64" s="40" t="n">
        <f aca="false">Q64-$B64</f>
        <v>68047.6190476191</v>
      </c>
      <c r="S64" s="40" t="n">
        <f aca="false">S63+R64</f>
        <v>-6122857.14285713</v>
      </c>
      <c r="T64" s="45" t="n">
        <f aca="false">IF(R64&gt;=0,1,0)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16"/>
    <col collapsed="false" customWidth="true" hidden="false" outlineLevel="0" max="2" min="2" style="12" width="14"/>
    <col collapsed="false" customWidth="true" hidden="false" outlineLevel="0" max="22" min="3" style="12" width="13"/>
  </cols>
  <sheetData>
    <row r="1" customFormat="false" ht="17.25" hidden="false" customHeight="true" outlineLevel="0" collapsed="false">
      <c r="A1" s="13" t="s">
        <v>210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customFormat="false" ht="15" hidden="false" customHeight="true" outlineLevel="0" collapsed="false">
      <c r="A2" s="22" t="s">
        <v>211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customFormat="false" ht="26.25" hidden="false" customHeight="true" outlineLevel="0" collapsed="false">
      <c r="A4" s="15" t="s">
        <v>212</v>
      </c>
      <c r="B4" s="47" t="n">
        <v>0.4</v>
      </c>
      <c r="C4" s="47" t="n">
        <v>0.55</v>
      </c>
      <c r="D4" s="47" t="n">
        <v>0.7</v>
      </c>
      <c r="E4" s="47" t="n">
        <v>0.85</v>
      </c>
      <c r="F4" s="47" t="n">
        <v>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customFormat="false" ht="15" hidden="false" customHeight="true" outlineLevel="0" collapsed="false">
      <c r="A5" s="48" t="n">
        <v>0.2</v>
      </c>
      <c r="B5" s="49" t="str">
        <f aca="false">IF(COUNTIF(C13:C72,"&lt;0")&gt;=60,"none",COUNTIF(C13:C72,"&lt;0")+1)</f>
        <v>none</v>
      </c>
      <c r="C5" s="49" t="str">
        <f aca="false">IF(COUNTIF(D13:D72,"&lt;0")&gt;=60,"none",COUNTIF(D13:D72,"&lt;0")+1)</f>
        <v>none</v>
      </c>
      <c r="D5" s="49" t="n">
        <f aca="false">IF(COUNTIF(E13:E72,"&lt;0")&gt;=60,"none",COUNTIF(E13:E72,"&lt;0")+1)</f>
        <v>47</v>
      </c>
      <c r="E5" s="49" t="n">
        <f aca="false">IF(COUNTIF(F13:F72,"&lt;0")&gt;=60,"none",COUNTIF(F13:F72,"&lt;0")+1)</f>
        <v>35</v>
      </c>
      <c r="F5" s="49" t="n">
        <f aca="false">IF(COUNTIF(G13:G72,"&lt;0")&gt;=60,"none",COUNTIF(G13:G72,"&lt;0")+1)</f>
        <v>29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customFormat="false" ht="15" hidden="false" customHeight="true" outlineLevel="0" collapsed="false">
      <c r="A6" s="48" t="n">
        <v>0.25</v>
      </c>
      <c r="B6" s="49" t="str">
        <f aca="false">IF(COUNTIF(H13:H72,"&lt;0")&gt;=60,"none",COUNTIF(H13:H72,"&lt;0")+1)</f>
        <v>none</v>
      </c>
      <c r="C6" s="49" t="n">
        <f aca="false">IF(COUNTIF(I13:I72,"&lt;0")&gt;=60,"none",COUNTIF(I13:I72,"&lt;0")+1)</f>
        <v>48</v>
      </c>
      <c r="D6" s="49" t="n">
        <f aca="false">IF(COUNTIF(J13:J72,"&lt;0")&gt;=60,"none",COUNTIF(J13:J72,"&lt;0")+1)</f>
        <v>34</v>
      </c>
      <c r="E6" s="49" t="n">
        <f aca="false">IF(COUNTIF(K13:K72,"&lt;0")&gt;=60,"none",COUNTIF(K13:K72,"&lt;0")+1)</f>
        <v>28</v>
      </c>
      <c r="F6" s="49" t="n">
        <f aca="false">IF(COUNTIF(L13:L72,"&lt;0")&gt;=60,"none",COUNTIF(L13:L72,"&lt;0")+1)</f>
        <v>25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customFormat="false" ht="15" hidden="false" customHeight="true" outlineLevel="0" collapsed="false">
      <c r="A7" s="48" t="n">
        <v>0.3</v>
      </c>
      <c r="B7" s="49" t="str">
        <f aca="false">IF(COUNTIF(M13:M72,"&lt;0")&gt;=60,"none",COUNTIF(M13:M72,"&lt;0")+1)</f>
        <v>none</v>
      </c>
      <c r="C7" s="49" t="n">
        <f aca="false">IF(COUNTIF(N13:N72,"&lt;0")&gt;=60,"none",COUNTIF(N13:N72,"&lt;0")+1)</f>
        <v>36</v>
      </c>
      <c r="D7" s="49" t="n">
        <f aca="false">IF(COUNTIF(O13:O72,"&lt;0")&gt;=60,"none",COUNTIF(O13:O72,"&lt;0")+1)</f>
        <v>28</v>
      </c>
      <c r="E7" s="49" t="n">
        <f aca="false">IF(COUNTIF(P13:P72,"&lt;0")&gt;=60,"none",COUNTIF(P13:P72,"&lt;0")+1)</f>
        <v>24</v>
      </c>
      <c r="F7" s="49" t="n">
        <f aca="false">IF(COUNTIF(Q13:Q72,"&lt;0")&gt;=60,"none",COUNTIF(Q13:Q72,"&lt;0")+1)</f>
        <v>22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customFormat="false" ht="15" hidden="false" customHeight="true" outlineLevel="0" collapsed="false">
      <c r="A8" s="48" t="n">
        <v>0.35</v>
      </c>
      <c r="B8" s="49" t="n">
        <f aca="false">IF(COUNTIF(R13:R72,"&lt;0")&gt;=60,"none",COUNTIF(R13:R72,"&lt;0")+1)</f>
        <v>47</v>
      </c>
      <c r="C8" s="49" t="n">
        <f aca="false">IF(COUNTIF(S13:S72,"&lt;0")&gt;=60,"none",COUNTIF(S13:S72,"&lt;0")+1)</f>
        <v>30</v>
      </c>
      <c r="D8" s="49" t="n">
        <f aca="false">IF(COUNTIF(T13:T72,"&lt;0")&gt;=60,"none",COUNTIF(T13:T72,"&lt;0")+1)</f>
        <v>25</v>
      </c>
      <c r="E8" s="49" t="n">
        <f aca="false">IF(COUNTIF(U13:U72,"&lt;0")&gt;=60,"none",COUNTIF(U13:U72,"&lt;0")+1)</f>
        <v>22</v>
      </c>
      <c r="F8" s="49" t="n">
        <f aca="false">IF(COUNTIF(V13:V72,"&lt;0")&gt;=60,"none",COUNTIF(V13:V72,"&lt;0")+1)</f>
        <v>20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customFormat="false" ht="1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customFormat="false" ht="1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customFormat="false" ht="15" hidden="false" customHeight="true" outlineLevel="0" collapsed="false">
      <c r="A11" s="33" t="s">
        <v>213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customFormat="false" ht="15" hidden="false" customHeight="true" outlineLevel="0" collapsed="false">
      <c r="A12" s="33" t="s">
        <v>190</v>
      </c>
      <c r="B12" s="33" t="s">
        <v>214</v>
      </c>
      <c r="C12" s="33" t="s">
        <v>215</v>
      </c>
      <c r="D12" s="33" t="s">
        <v>216</v>
      </c>
      <c r="E12" s="33" t="s">
        <v>217</v>
      </c>
      <c r="F12" s="33" t="s">
        <v>218</v>
      </c>
      <c r="G12" s="33" t="s">
        <v>219</v>
      </c>
      <c r="H12" s="33" t="s">
        <v>220</v>
      </c>
      <c r="I12" s="33" t="s">
        <v>221</v>
      </c>
      <c r="J12" s="33" t="s">
        <v>222</v>
      </c>
      <c r="K12" s="33" t="s">
        <v>223</v>
      </c>
      <c r="L12" s="33" t="s">
        <v>224</v>
      </c>
      <c r="M12" s="33" t="s">
        <v>225</v>
      </c>
      <c r="N12" s="33" t="s">
        <v>226</v>
      </c>
      <c r="O12" s="33" t="s">
        <v>227</v>
      </c>
      <c r="P12" s="33" t="s">
        <v>228</v>
      </c>
      <c r="Q12" s="33" t="s">
        <v>229</v>
      </c>
      <c r="R12" s="33" t="s">
        <v>230</v>
      </c>
      <c r="S12" s="33" t="s">
        <v>231</v>
      </c>
      <c r="T12" s="33" t="s">
        <v>232</v>
      </c>
      <c r="U12" s="33" t="s">
        <v>233</v>
      </c>
      <c r="V12" s="33" t="s">
        <v>234</v>
      </c>
    </row>
    <row r="13" customFormat="false" ht="15" hidden="false" customHeight="true" outlineLevel="0" collapsed="false">
      <c r="A13" s="14" t="n">
        <v>1</v>
      </c>
      <c r="B13" s="43" t="n">
        <f aca="false">Cashflow!B5</f>
        <v>1158333.33333333</v>
      </c>
      <c r="C13" s="40" t="n">
        <f aca="false">IF($A13&lt;Inputs!$B$9,0,B$4*Inputs!$B$23*MIN(1,($A13-Inputs!$B$9+1)/(Inputs!$B$10-Inputs!$B$9+1)))*Inputs!$B$4*$A$5-$B13</f>
        <v>-1158333.33333333</v>
      </c>
      <c r="D13" s="40" t="n">
        <f aca="false">IF($A13&lt;Inputs!$B$9,0,C$4*Inputs!$B$23*MIN(1,($A13-Inputs!$B$9+1)/(Inputs!$B$10-Inputs!$B$9+1)))*Inputs!$B$4*$A$5-$B13</f>
        <v>-1158333.33333333</v>
      </c>
      <c r="E13" s="40" t="n">
        <f aca="false">IF($A13&lt;Inputs!$B$9,0,D$4*Inputs!$B$23*MIN(1,($A13-Inputs!$B$9+1)/(Inputs!$B$10-Inputs!$B$9+1)))*Inputs!$B$4*$A$5-$B13</f>
        <v>-1158333.33333333</v>
      </c>
      <c r="F13" s="40" t="n">
        <f aca="false">IF($A13&lt;Inputs!$B$9,0,E$4*Inputs!$B$23*MIN(1,($A13-Inputs!$B$9+1)/(Inputs!$B$10-Inputs!$B$9+1)))*Inputs!$B$4*$A$5-$B13</f>
        <v>-1158333.33333333</v>
      </c>
      <c r="G13" s="40" t="n">
        <f aca="false">IF($A13&lt;Inputs!$B$9,0,F$4*Inputs!$B$23*MIN(1,($A13-Inputs!$B$9+1)/(Inputs!$B$10-Inputs!$B$9+1)))*Inputs!$B$4*$A$5-$B13</f>
        <v>-1158333.33333333</v>
      </c>
      <c r="H13" s="40" t="n">
        <f aca="false">IF($A13&lt;Inputs!$B$9,0,B$4*Inputs!$B$23*MIN(1,($A13-Inputs!$B$9+1)/(Inputs!$B$10-Inputs!$B$9+1)))*Inputs!$B$4*$A$6-$B13</f>
        <v>-1158333.33333333</v>
      </c>
      <c r="I13" s="40" t="n">
        <f aca="false">IF($A13&lt;Inputs!$B$9,0,C$4*Inputs!$B$23*MIN(1,($A13-Inputs!$B$9+1)/(Inputs!$B$10-Inputs!$B$9+1)))*Inputs!$B$4*$A$6-$B13</f>
        <v>-1158333.33333333</v>
      </c>
      <c r="J13" s="40" t="n">
        <f aca="false">IF($A13&lt;Inputs!$B$9,0,D$4*Inputs!$B$23*MIN(1,($A13-Inputs!$B$9+1)/(Inputs!$B$10-Inputs!$B$9+1)))*Inputs!$B$4*$A$6-$B13</f>
        <v>-1158333.33333333</v>
      </c>
      <c r="K13" s="40" t="n">
        <f aca="false">IF($A13&lt;Inputs!$B$9,0,E$4*Inputs!$B$23*MIN(1,($A13-Inputs!$B$9+1)/(Inputs!$B$10-Inputs!$B$9+1)))*Inputs!$B$4*$A$6-$B13</f>
        <v>-1158333.33333333</v>
      </c>
      <c r="L13" s="40" t="n">
        <f aca="false">IF($A13&lt;Inputs!$B$9,0,F$4*Inputs!$B$23*MIN(1,($A13-Inputs!$B$9+1)/(Inputs!$B$10-Inputs!$B$9+1)))*Inputs!$B$4*$A$6-$B13</f>
        <v>-1158333.33333333</v>
      </c>
      <c r="M13" s="40" t="n">
        <f aca="false">IF($A13&lt;Inputs!$B$9,0,B$4*Inputs!$B$23*MIN(1,($A13-Inputs!$B$9+1)/(Inputs!$B$10-Inputs!$B$9+1)))*Inputs!$B$4*$A$7-$B13</f>
        <v>-1158333.33333333</v>
      </c>
      <c r="N13" s="40" t="n">
        <f aca="false">IF($A13&lt;Inputs!$B$9,0,C$4*Inputs!$B$23*MIN(1,($A13-Inputs!$B$9+1)/(Inputs!$B$10-Inputs!$B$9+1)))*Inputs!$B$4*$A$7-$B13</f>
        <v>-1158333.33333333</v>
      </c>
      <c r="O13" s="40" t="n">
        <f aca="false">IF($A13&lt;Inputs!$B$9,0,D$4*Inputs!$B$23*MIN(1,($A13-Inputs!$B$9+1)/(Inputs!$B$10-Inputs!$B$9+1)))*Inputs!$B$4*$A$7-$B13</f>
        <v>-1158333.33333333</v>
      </c>
      <c r="P13" s="40" t="n">
        <f aca="false">IF($A13&lt;Inputs!$B$9,0,E$4*Inputs!$B$23*MIN(1,($A13-Inputs!$B$9+1)/(Inputs!$B$10-Inputs!$B$9+1)))*Inputs!$B$4*$A$7-$B13</f>
        <v>-1158333.33333333</v>
      </c>
      <c r="Q13" s="40" t="n">
        <f aca="false">IF($A13&lt;Inputs!$B$9,0,F$4*Inputs!$B$23*MIN(1,($A13-Inputs!$B$9+1)/(Inputs!$B$10-Inputs!$B$9+1)))*Inputs!$B$4*$A$7-$B13</f>
        <v>-1158333.33333333</v>
      </c>
      <c r="R13" s="40" t="n">
        <f aca="false">IF($A13&lt;Inputs!$B$9,0,B$4*Inputs!$B$23*MIN(1,($A13-Inputs!$B$9+1)/(Inputs!$B$10-Inputs!$B$9+1)))*Inputs!$B$4*$A$8-$B13</f>
        <v>-1158333.33333333</v>
      </c>
      <c r="S13" s="40" t="n">
        <f aca="false">IF($A13&lt;Inputs!$B$9,0,C$4*Inputs!$B$23*MIN(1,($A13-Inputs!$B$9+1)/(Inputs!$B$10-Inputs!$B$9+1)))*Inputs!$B$4*$A$8-$B13</f>
        <v>-1158333.33333333</v>
      </c>
      <c r="T13" s="40" t="n">
        <f aca="false">IF($A13&lt;Inputs!$B$9,0,D$4*Inputs!$B$23*MIN(1,($A13-Inputs!$B$9+1)/(Inputs!$B$10-Inputs!$B$9+1)))*Inputs!$B$4*$A$8-$B13</f>
        <v>-1158333.33333333</v>
      </c>
      <c r="U13" s="40" t="n">
        <f aca="false">IF($A13&lt;Inputs!$B$9,0,E$4*Inputs!$B$23*MIN(1,($A13-Inputs!$B$9+1)/(Inputs!$B$10-Inputs!$B$9+1)))*Inputs!$B$4*$A$8-$B13</f>
        <v>-1158333.33333333</v>
      </c>
      <c r="V13" s="40" t="n">
        <f aca="false">IF($A13&lt;Inputs!$B$9,0,F$4*Inputs!$B$23*MIN(1,($A13-Inputs!$B$9+1)/(Inputs!$B$10-Inputs!$B$9+1)))*Inputs!$B$4*$A$8-$B13</f>
        <v>-1158333.33333333</v>
      </c>
    </row>
    <row r="14" customFormat="false" ht="15" hidden="false" customHeight="true" outlineLevel="0" collapsed="false">
      <c r="A14" s="14" t="n">
        <v>2</v>
      </c>
      <c r="B14" s="43" t="n">
        <f aca="false">Cashflow!B6</f>
        <v>1783333.33333333</v>
      </c>
      <c r="C14" s="40" t="n">
        <f aca="false">C13+IF($A14&lt;Inputs!$B$9,0,B$4*Inputs!$B$23*MIN(1,($A14-Inputs!$B$9+1)/(Inputs!$B$10-Inputs!$B$9+1)))*Inputs!$B$4*$A$5-$B14</f>
        <v>-2941666.66666667</v>
      </c>
      <c r="D14" s="40" t="n">
        <f aca="false">D13+IF($A14&lt;Inputs!$B$9,0,C$4*Inputs!$B$23*MIN(1,($A14-Inputs!$B$9+1)/(Inputs!$B$10-Inputs!$B$9+1)))*Inputs!$B$4*$A$5-$B14</f>
        <v>-2941666.66666667</v>
      </c>
      <c r="E14" s="40" t="n">
        <f aca="false">E13+IF($A14&lt;Inputs!$B$9,0,D$4*Inputs!$B$23*MIN(1,($A14-Inputs!$B$9+1)/(Inputs!$B$10-Inputs!$B$9+1)))*Inputs!$B$4*$A$5-$B14</f>
        <v>-2941666.66666667</v>
      </c>
      <c r="F14" s="40" t="n">
        <f aca="false">F13+IF($A14&lt;Inputs!$B$9,0,E$4*Inputs!$B$23*MIN(1,($A14-Inputs!$B$9+1)/(Inputs!$B$10-Inputs!$B$9+1)))*Inputs!$B$4*$A$5-$B14</f>
        <v>-2941666.66666667</v>
      </c>
      <c r="G14" s="40" t="n">
        <f aca="false">G13+IF($A14&lt;Inputs!$B$9,0,F$4*Inputs!$B$23*MIN(1,($A14-Inputs!$B$9+1)/(Inputs!$B$10-Inputs!$B$9+1)))*Inputs!$B$4*$A$5-$B14</f>
        <v>-2941666.66666667</v>
      </c>
      <c r="H14" s="40" t="n">
        <f aca="false">H13+IF($A14&lt;Inputs!$B$9,0,B$4*Inputs!$B$23*MIN(1,($A14-Inputs!$B$9+1)/(Inputs!$B$10-Inputs!$B$9+1)))*Inputs!$B$4*$A$6-$B14</f>
        <v>-2941666.66666667</v>
      </c>
      <c r="I14" s="40" t="n">
        <f aca="false">I13+IF($A14&lt;Inputs!$B$9,0,C$4*Inputs!$B$23*MIN(1,($A14-Inputs!$B$9+1)/(Inputs!$B$10-Inputs!$B$9+1)))*Inputs!$B$4*$A$6-$B14</f>
        <v>-2941666.66666667</v>
      </c>
      <c r="J14" s="40" t="n">
        <f aca="false">J13+IF($A14&lt;Inputs!$B$9,0,D$4*Inputs!$B$23*MIN(1,($A14-Inputs!$B$9+1)/(Inputs!$B$10-Inputs!$B$9+1)))*Inputs!$B$4*$A$6-$B14</f>
        <v>-2941666.66666667</v>
      </c>
      <c r="K14" s="40" t="n">
        <f aca="false">K13+IF($A14&lt;Inputs!$B$9,0,E$4*Inputs!$B$23*MIN(1,($A14-Inputs!$B$9+1)/(Inputs!$B$10-Inputs!$B$9+1)))*Inputs!$B$4*$A$6-$B14</f>
        <v>-2941666.66666667</v>
      </c>
      <c r="L14" s="40" t="n">
        <f aca="false">L13+IF($A14&lt;Inputs!$B$9,0,F$4*Inputs!$B$23*MIN(1,($A14-Inputs!$B$9+1)/(Inputs!$B$10-Inputs!$B$9+1)))*Inputs!$B$4*$A$6-$B14</f>
        <v>-2941666.66666667</v>
      </c>
      <c r="M14" s="40" t="n">
        <f aca="false">M13+IF($A14&lt;Inputs!$B$9,0,B$4*Inputs!$B$23*MIN(1,($A14-Inputs!$B$9+1)/(Inputs!$B$10-Inputs!$B$9+1)))*Inputs!$B$4*$A$7-$B14</f>
        <v>-2941666.66666667</v>
      </c>
      <c r="N14" s="40" t="n">
        <f aca="false">N13+IF($A14&lt;Inputs!$B$9,0,C$4*Inputs!$B$23*MIN(1,($A14-Inputs!$B$9+1)/(Inputs!$B$10-Inputs!$B$9+1)))*Inputs!$B$4*$A$7-$B14</f>
        <v>-2941666.66666667</v>
      </c>
      <c r="O14" s="40" t="n">
        <f aca="false">O13+IF($A14&lt;Inputs!$B$9,0,D$4*Inputs!$B$23*MIN(1,($A14-Inputs!$B$9+1)/(Inputs!$B$10-Inputs!$B$9+1)))*Inputs!$B$4*$A$7-$B14</f>
        <v>-2941666.66666667</v>
      </c>
      <c r="P14" s="40" t="n">
        <f aca="false">P13+IF($A14&lt;Inputs!$B$9,0,E$4*Inputs!$B$23*MIN(1,($A14-Inputs!$B$9+1)/(Inputs!$B$10-Inputs!$B$9+1)))*Inputs!$B$4*$A$7-$B14</f>
        <v>-2941666.66666667</v>
      </c>
      <c r="Q14" s="40" t="n">
        <f aca="false">Q13+IF($A14&lt;Inputs!$B$9,0,F$4*Inputs!$B$23*MIN(1,($A14-Inputs!$B$9+1)/(Inputs!$B$10-Inputs!$B$9+1)))*Inputs!$B$4*$A$7-$B14</f>
        <v>-2941666.66666667</v>
      </c>
      <c r="R14" s="40" t="n">
        <f aca="false">R13+IF($A14&lt;Inputs!$B$9,0,B$4*Inputs!$B$23*MIN(1,($A14-Inputs!$B$9+1)/(Inputs!$B$10-Inputs!$B$9+1)))*Inputs!$B$4*$A$8-$B14</f>
        <v>-2941666.66666667</v>
      </c>
      <c r="S14" s="40" t="n">
        <f aca="false">S13+IF($A14&lt;Inputs!$B$9,0,C$4*Inputs!$B$23*MIN(1,($A14-Inputs!$B$9+1)/(Inputs!$B$10-Inputs!$B$9+1)))*Inputs!$B$4*$A$8-$B14</f>
        <v>-2941666.66666667</v>
      </c>
      <c r="T14" s="40" t="n">
        <f aca="false">T13+IF($A14&lt;Inputs!$B$9,0,D$4*Inputs!$B$23*MIN(1,($A14-Inputs!$B$9+1)/(Inputs!$B$10-Inputs!$B$9+1)))*Inputs!$B$4*$A$8-$B14</f>
        <v>-2941666.66666667</v>
      </c>
      <c r="U14" s="40" t="n">
        <f aca="false">U13+IF($A14&lt;Inputs!$B$9,0,E$4*Inputs!$B$23*MIN(1,($A14-Inputs!$B$9+1)/(Inputs!$B$10-Inputs!$B$9+1)))*Inputs!$B$4*$A$8-$B14</f>
        <v>-2941666.66666667</v>
      </c>
      <c r="V14" s="40" t="n">
        <f aca="false">V13+IF($A14&lt;Inputs!$B$9,0,F$4*Inputs!$B$23*MIN(1,($A14-Inputs!$B$9+1)/(Inputs!$B$10-Inputs!$B$9+1)))*Inputs!$B$4*$A$8-$B14</f>
        <v>-2941666.66666667</v>
      </c>
    </row>
    <row r="15" customFormat="false" ht="15" hidden="false" customHeight="true" outlineLevel="0" collapsed="false">
      <c r="A15" s="14" t="n">
        <v>3</v>
      </c>
      <c r="B15" s="43" t="n">
        <f aca="false">Cashflow!B7</f>
        <v>1895333.33333333</v>
      </c>
      <c r="C15" s="40" t="n">
        <f aca="false">C14+IF($A15&lt;Inputs!$B$9,0,B$4*Inputs!$B$23*MIN(1,($A15-Inputs!$B$9+1)/(Inputs!$B$10-Inputs!$B$9+1)))*Inputs!$B$4*$A$5-$B15</f>
        <v>-4837000</v>
      </c>
      <c r="D15" s="40" t="n">
        <f aca="false">D14+IF($A15&lt;Inputs!$B$9,0,C$4*Inputs!$B$23*MIN(1,($A15-Inputs!$B$9+1)/(Inputs!$B$10-Inputs!$B$9+1)))*Inputs!$B$4*$A$5-$B15</f>
        <v>-4837000</v>
      </c>
      <c r="E15" s="40" t="n">
        <f aca="false">E14+IF($A15&lt;Inputs!$B$9,0,D$4*Inputs!$B$23*MIN(1,($A15-Inputs!$B$9+1)/(Inputs!$B$10-Inputs!$B$9+1)))*Inputs!$B$4*$A$5-$B15</f>
        <v>-4837000</v>
      </c>
      <c r="F15" s="40" t="n">
        <f aca="false">F14+IF($A15&lt;Inputs!$B$9,0,E$4*Inputs!$B$23*MIN(1,($A15-Inputs!$B$9+1)/(Inputs!$B$10-Inputs!$B$9+1)))*Inputs!$B$4*$A$5-$B15</f>
        <v>-4837000</v>
      </c>
      <c r="G15" s="40" t="n">
        <f aca="false">G14+IF($A15&lt;Inputs!$B$9,0,F$4*Inputs!$B$23*MIN(1,($A15-Inputs!$B$9+1)/(Inputs!$B$10-Inputs!$B$9+1)))*Inputs!$B$4*$A$5-$B15</f>
        <v>-4837000</v>
      </c>
      <c r="H15" s="40" t="n">
        <f aca="false">H14+IF($A15&lt;Inputs!$B$9,0,B$4*Inputs!$B$23*MIN(1,($A15-Inputs!$B$9+1)/(Inputs!$B$10-Inputs!$B$9+1)))*Inputs!$B$4*$A$6-$B15</f>
        <v>-4837000</v>
      </c>
      <c r="I15" s="40" t="n">
        <f aca="false">I14+IF($A15&lt;Inputs!$B$9,0,C$4*Inputs!$B$23*MIN(1,($A15-Inputs!$B$9+1)/(Inputs!$B$10-Inputs!$B$9+1)))*Inputs!$B$4*$A$6-$B15</f>
        <v>-4837000</v>
      </c>
      <c r="J15" s="40" t="n">
        <f aca="false">J14+IF($A15&lt;Inputs!$B$9,0,D$4*Inputs!$B$23*MIN(1,($A15-Inputs!$B$9+1)/(Inputs!$B$10-Inputs!$B$9+1)))*Inputs!$B$4*$A$6-$B15</f>
        <v>-4837000</v>
      </c>
      <c r="K15" s="40" t="n">
        <f aca="false">K14+IF($A15&lt;Inputs!$B$9,0,E$4*Inputs!$B$23*MIN(1,($A15-Inputs!$B$9+1)/(Inputs!$B$10-Inputs!$B$9+1)))*Inputs!$B$4*$A$6-$B15</f>
        <v>-4837000</v>
      </c>
      <c r="L15" s="40" t="n">
        <f aca="false">L14+IF($A15&lt;Inputs!$B$9,0,F$4*Inputs!$B$23*MIN(1,($A15-Inputs!$B$9+1)/(Inputs!$B$10-Inputs!$B$9+1)))*Inputs!$B$4*$A$6-$B15</f>
        <v>-4837000</v>
      </c>
      <c r="M15" s="40" t="n">
        <f aca="false">M14+IF($A15&lt;Inputs!$B$9,0,B$4*Inputs!$B$23*MIN(1,($A15-Inputs!$B$9+1)/(Inputs!$B$10-Inputs!$B$9+1)))*Inputs!$B$4*$A$7-$B15</f>
        <v>-4837000</v>
      </c>
      <c r="N15" s="40" t="n">
        <f aca="false">N14+IF($A15&lt;Inputs!$B$9,0,C$4*Inputs!$B$23*MIN(1,($A15-Inputs!$B$9+1)/(Inputs!$B$10-Inputs!$B$9+1)))*Inputs!$B$4*$A$7-$B15</f>
        <v>-4837000</v>
      </c>
      <c r="O15" s="40" t="n">
        <f aca="false">O14+IF($A15&lt;Inputs!$B$9,0,D$4*Inputs!$B$23*MIN(1,($A15-Inputs!$B$9+1)/(Inputs!$B$10-Inputs!$B$9+1)))*Inputs!$B$4*$A$7-$B15</f>
        <v>-4837000</v>
      </c>
      <c r="P15" s="40" t="n">
        <f aca="false">P14+IF($A15&lt;Inputs!$B$9,0,E$4*Inputs!$B$23*MIN(1,($A15-Inputs!$B$9+1)/(Inputs!$B$10-Inputs!$B$9+1)))*Inputs!$B$4*$A$7-$B15</f>
        <v>-4837000</v>
      </c>
      <c r="Q15" s="40" t="n">
        <f aca="false">Q14+IF($A15&lt;Inputs!$B$9,0,F$4*Inputs!$B$23*MIN(1,($A15-Inputs!$B$9+1)/(Inputs!$B$10-Inputs!$B$9+1)))*Inputs!$B$4*$A$7-$B15</f>
        <v>-4837000</v>
      </c>
      <c r="R15" s="40" t="n">
        <f aca="false">R14+IF($A15&lt;Inputs!$B$9,0,B$4*Inputs!$B$23*MIN(1,($A15-Inputs!$B$9+1)/(Inputs!$B$10-Inputs!$B$9+1)))*Inputs!$B$4*$A$8-$B15</f>
        <v>-4837000</v>
      </c>
      <c r="S15" s="40" t="n">
        <f aca="false">S14+IF($A15&lt;Inputs!$B$9,0,C$4*Inputs!$B$23*MIN(1,($A15-Inputs!$B$9+1)/(Inputs!$B$10-Inputs!$B$9+1)))*Inputs!$B$4*$A$8-$B15</f>
        <v>-4837000</v>
      </c>
      <c r="T15" s="40" t="n">
        <f aca="false">T14+IF($A15&lt;Inputs!$B$9,0,D$4*Inputs!$B$23*MIN(1,($A15-Inputs!$B$9+1)/(Inputs!$B$10-Inputs!$B$9+1)))*Inputs!$B$4*$A$8-$B15</f>
        <v>-4837000</v>
      </c>
      <c r="U15" s="40" t="n">
        <f aca="false">U14+IF($A15&lt;Inputs!$B$9,0,E$4*Inputs!$B$23*MIN(1,($A15-Inputs!$B$9+1)/(Inputs!$B$10-Inputs!$B$9+1)))*Inputs!$B$4*$A$8-$B15</f>
        <v>-4837000</v>
      </c>
      <c r="V15" s="40" t="n">
        <f aca="false">V14+IF($A15&lt;Inputs!$B$9,0,F$4*Inputs!$B$23*MIN(1,($A15-Inputs!$B$9+1)/(Inputs!$B$10-Inputs!$B$9+1)))*Inputs!$B$4*$A$8-$B15</f>
        <v>-4837000</v>
      </c>
    </row>
    <row r="16" customFormat="false" ht="15" hidden="false" customHeight="true" outlineLevel="0" collapsed="false">
      <c r="A16" s="14" t="n">
        <v>4</v>
      </c>
      <c r="B16" s="43" t="n">
        <f aca="false">Cashflow!B8</f>
        <v>440333.333333333</v>
      </c>
      <c r="C16" s="40" t="n">
        <f aca="false">C15+IF($A16&lt;Inputs!$B$9,0,B$4*Inputs!$B$23*MIN(1,($A16-Inputs!$B$9+1)/(Inputs!$B$10-Inputs!$B$9+1)))*Inputs!$B$4*$A$5-$B16</f>
        <v>-5259693.42403628</v>
      </c>
      <c r="D16" s="40" t="n">
        <f aca="false">D15+IF($A16&lt;Inputs!$B$9,0,C$4*Inputs!$B$23*MIN(1,($A16-Inputs!$B$9+1)/(Inputs!$B$10-Inputs!$B$9+1)))*Inputs!$B$4*$A$5-$B16</f>
        <v>-5253078.45804989</v>
      </c>
      <c r="E16" s="40" t="n">
        <f aca="false">E15+IF($A16&lt;Inputs!$B$9,0,D$4*Inputs!$B$23*MIN(1,($A16-Inputs!$B$9+1)/(Inputs!$B$10-Inputs!$B$9+1)))*Inputs!$B$4*$A$5-$B16</f>
        <v>-5246463.49206349</v>
      </c>
      <c r="F16" s="40" t="n">
        <f aca="false">F15+IF($A16&lt;Inputs!$B$9,0,E$4*Inputs!$B$23*MIN(1,($A16-Inputs!$B$9+1)/(Inputs!$B$10-Inputs!$B$9+1)))*Inputs!$B$4*$A$5-$B16</f>
        <v>-5239848.5260771</v>
      </c>
      <c r="G16" s="40" t="n">
        <f aca="false">G15+IF($A16&lt;Inputs!$B$9,0,F$4*Inputs!$B$23*MIN(1,($A16-Inputs!$B$9+1)/(Inputs!$B$10-Inputs!$B$9+1)))*Inputs!$B$4*$A$5-$B16</f>
        <v>-5233233.5600907</v>
      </c>
      <c r="H16" s="40" t="n">
        <f aca="false">H15+IF($A16&lt;Inputs!$B$9,0,B$4*Inputs!$B$23*MIN(1,($A16-Inputs!$B$9+1)/(Inputs!$B$10-Inputs!$B$9+1)))*Inputs!$B$4*$A$6-$B16</f>
        <v>-5255283.44671202</v>
      </c>
      <c r="I16" s="40" t="n">
        <f aca="false">I15+IF($A16&lt;Inputs!$B$9,0,C$4*Inputs!$B$23*MIN(1,($A16-Inputs!$B$9+1)/(Inputs!$B$10-Inputs!$B$9+1)))*Inputs!$B$4*$A$6-$B16</f>
        <v>-5247014.73922902</v>
      </c>
      <c r="J16" s="40" t="n">
        <f aca="false">J15+IF($A16&lt;Inputs!$B$9,0,D$4*Inputs!$B$23*MIN(1,($A16-Inputs!$B$9+1)/(Inputs!$B$10-Inputs!$B$9+1)))*Inputs!$B$4*$A$6-$B16</f>
        <v>-5238746.03174603</v>
      </c>
      <c r="K16" s="40" t="n">
        <f aca="false">K15+IF($A16&lt;Inputs!$B$9,0,E$4*Inputs!$B$23*MIN(1,($A16-Inputs!$B$9+1)/(Inputs!$B$10-Inputs!$B$9+1)))*Inputs!$B$4*$A$6-$B16</f>
        <v>-5230477.32426304</v>
      </c>
      <c r="L16" s="40" t="n">
        <f aca="false">L15+IF($A16&lt;Inputs!$B$9,0,F$4*Inputs!$B$23*MIN(1,($A16-Inputs!$B$9+1)/(Inputs!$B$10-Inputs!$B$9+1)))*Inputs!$B$4*$A$6-$B16</f>
        <v>-5222208.61678005</v>
      </c>
      <c r="M16" s="40" t="n">
        <f aca="false">M15+IF($A16&lt;Inputs!$B$9,0,B$4*Inputs!$B$23*MIN(1,($A16-Inputs!$B$9+1)/(Inputs!$B$10-Inputs!$B$9+1)))*Inputs!$B$4*$A$7-$B16</f>
        <v>-5250873.46938776</v>
      </c>
      <c r="N16" s="40" t="n">
        <f aca="false">N15+IF($A16&lt;Inputs!$B$9,0,C$4*Inputs!$B$23*MIN(1,($A16-Inputs!$B$9+1)/(Inputs!$B$10-Inputs!$B$9+1)))*Inputs!$B$4*$A$7-$B16</f>
        <v>-5240951.02040816</v>
      </c>
      <c r="O16" s="40" t="n">
        <f aca="false">O15+IF($A16&lt;Inputs!$B$9,0,D$4*Inputs!$B$23*MIN(1,($A16-Inputs!$B$9+1)/(Inputs!$B$10-Inputs!$B$9+1)))*Inputs!$B$4*$A$7-$B16</f>
        <v>-5231028.57142857</v>
      </c>
      <c r="P16" s="40" t="n">
        <f aca="false">P15+IF($A16&lt;Inputs!$B$9,0,E$4*Inputs!$B$23*MIN(1,($A16-Inputs!$B$9+1)/(Inputs!$B$10-Inputs!$B$9+1)))*Inputs!$B$4*$A$7-$B16</f>
        <v>-5221106.12244898</v>
      </c>
      <c r="Q16" s="40" t="n">
        <f aca="false">Q15+IF($A16&lt;Inputs!$B$9,0,F$4*Inputs!$B$23*MIN(1,($A16-Inputs!$B$9+1)/(Inputs!$B$10-Inputs!$B$9+1)))*Inputs!$B$4*$A$7-$B16</f>
        <v>-5211183.67346939</v>
      </c>
      <c r="R16" s="40" t="n">
        <f aca="false">R15+IF($A16&lt;Inputs!$B$9,0,B$4*Inputs!$B$23*MIN(1,($A16-Inputs!$B$9+1)/(Inputs!$B$10-Inputs!$B$9+1)))*Inputs!$B$4*$A$8-$B16</f>
        <v>-5246463.49206349</v>
      </c>
      <c r="S16" s="40" t="n">
        <f aca="false">S15+IF($A16&lt;Inputs!$B$9,0,C$4*Inputs!$B$23*MIN(1,($A16-Inputs!$B$9+1)/(Inputs!$B$10-Inputs!$B$9+1)))*Inputs!$B$4*$A$8-$B16</f>
        <v>-5234887.3015873</v>
      </c>
      <c r="T16" s="40" t="n">
        <f aca="false">T15+IF($A16&lt;Inputs!$B$9,0,D$4*Inputs!$B$23*MIN(1,($A16-Inputs!$B$9+1)/(Inputs!$B$10-Inputs!$B$9+1)))*Inputs!$B$4*$A$8-$B16</f>
        <v>-5223311.11111111</v>
      </c>
      <c r="U16" s="40" t="n">
        <f aca="false">U15+IF($A16&lt;Inputs!$B$9,0,E$4*Inputs!$B$23*MIN(1,($A16-Inputs!$B$9+1)/(Inputs!$B$10-Inputs!$B$9+1)))*Inputs!$B$4*$A$8-$B16</f>
        <v>-5211734.92063492</v>
      </c>
      <c r="V16" s="40" t="n">
        <f aca="false">V15+IF($A16&lt;Inputs!$B$9,0,F$4*Inputs!$B$23*MIN(1,($A16-Inputs!$B$9+1)/(Inputs!$B$10-Inputs!$B$9+1)))*Inputs!$B$4*$A$8-$B16</f>
        <v>-5200158.73015873</v>
      </c>
    </row>
    <row r="17" customFormat="false" ht="15" hidden="false" customHeight="true" outlineLevel="0" collapsed="false">
      <c r="A17" s="14" t="n">
        <v>5</v>
      </c>
      <c r="B17" s="43" t="n">
        <f aca="false">Cashflow!B9</f>
        <v>340333.333333333</v>
      </c>
      <c r="C17" s="40" t="n">
        <f aca="false">C16+IF($A17&lt;Inputs!$B$9,0,B$4*Inputs!$B$23*MIN(1,($A17-Inputs!$B$9+1)/(Inputs!$B$10-Inputs!$B$9+1)))*Inputs!$B$4*$A$5-$B17</f>
        <v>-5564746.93877551</v>
      </c>
      <c r="D17" s="40" t="n">
        <f aca="false">D16+IF($A17&lt;Inputs!$B$9,0,C$4*Inputs!$B$23*MIN(1,($A17-Inputs!$B$9+1)/(Inputs!$B$10-Inputs!$B$9+1)))*Inputs!$B$4*$A$5-$B17</f>
        <v>-5544902.04081633</v>
      </c>
      <c r="E17" s="40" t="n">
        <f aca="false">E16+IF($A17&lt;Inputs!$B$9,0,D$4*Inputs!$B$23*MIN(1,($A17-Inputs!$B$9+1)/(Inputs!$B$10-Inputs!$B$9+1)))*Inputs!$B$4*$A$5-$B17</f>
        <v>-5525057.14285714</v>
      </c>
      <c r="F17" s="40" t="n">
        <f aca="false">F16+IF($A17&lt;Inputs!$B$9,0,E$4*Inputs!$B$23*MIN(1,($A17-Inputs!$B$9+1)/(Inputs!$B$10-Inputs!$B$9+1)))*Inputs!$B$4*$A$5-$B17</f>
        <v>-5505212.24489796</v>
      </c>
      <c r="G17" s="40" t="n">
        <f aca="false">G16+IF($A17&lt;Inputs!$B$9,0,F$4*Inputs!$B$23*MIN(1,($A17-Inputs!$B$9+1)/(Inputs!$B$10-Inputs!$B$9+1)))*Inputs!$B$4*$A$5-$B17</f>
        <v>-5485367.34693878</v>
      </c>
      <c r="H17" s="40" t="n">
        <f aca="false">H16+IF($A17&lt;Inputs!$B$9,0,B$4*Inputs!$B$23*MIN(1,($A17-Inputs!$B$9+1)/(Inputs!$B$10-Inputs!$B$9+1)))*Inputs!$B$4*$A$6-$B17</f>
        <v>-5551517.00680272</v>
      </c>
      <c r="I17" s="40" t="n">
        <f aca="false">I16+IF($A17&lt;Inputs!$B$9,0,C$4*Inputs!$B$23*MIN(1,($A17-Inputs!$B$9+1)/(Inputs!$B$10-Inputs!$B$9+1)))*Inputs!$B$4*$A$6-$B17</f>
        <v>-5526710.88435374</v>
      </c>
      <c r="J17" s="40" t="n">
        <f aca="false">J16+IF($A17&lt;Inputs!$B$9,0,D$4*Inputs!$B$23*MIN(1,($A17-Inputs!$B$9+1)/(Inputs!$B$10-Inputs!$B$9+1)))*Inputs!$B$4*$A$6-$B17</f>
        <v>-5501904.76190476</v>
      </c>
      <c r="K17" s="40" t="n">
        <f aca="false">K16+IF($A17&lt;Inputs!$B$9,0,E$4*Inputs!$B$23*MIN(1,($A17-Inputs!$B$9+1)/(Inputs!$B$10-Inputs!$B$9+1)))*Inputs!$B$4*$A$6-$B17</f>
        <v>-5477098.63945578</v>
      </c>
      <c r="L17" s="40" t="n">
        <f aca="false">L16+IF($A17&lt;Inputs!$B$9,0,F$4*Inputs!$B$23*MIN(1,($A17-Inputs!$B$9+1)/(Inputs!$B$10-Inputs!$B$9+1)))*Inputs!$B$4*$A$6-$B17</f>
        <v>-5452292.5170068</v>
      </c>
      <c r="M17" s="40" t="n">
        <f aca="false">M16+IF($A17&lt;Inputs!$B$9,0,B$4*Inputs!$B$23*MIN(1,($A17-Inputs!$B$9+1)/(Inputs!$B$10-Inputs!$B$9+1)))*Inputs!$B$4*$A$7-$B17</f>
        <v>-5538287.07482993</v>
      </c>
      <c r="N17" s="40" t="n">
        <f aca="false">N16+IF($A17&lt;Inputs!$B$9,0,C$4*Inputs!$B$23*MIN(1,($A17-Inputs!$B$9+1)/(Inputs!$B$10-Inputs!$B$9+1)))*Inputs!$B$4*$A$7-$B17</f>
        <v>-5508519.72789116</v>
      </c>
      <c r="O17" s="40" t="n">
        <f aca="false">O16+IF($A17&lt;Inputs!$B$9,0,D$4*Inputs!$B$23*MIN(1,($A17-Inputs!$B$9+1)/(Inputs!$B$10-Inputs!$B$9+1)))*Inputs!$B$4*$A$7-$B17</f>
        <v>-5478752.38095238</v>
      </c>
      <c r="P17" s="40" t="n">
        <f aca="false">P16+IF($A17&lt;Inputs!$B$9,0,E$4*Inputs!$B$23*MIN(1,($A17-Inputs!$B$9+1)/(Inputs!$B$10-Inputs!$B$9+1)))*Inputs!$B$4*$A$7-$B17</f>
        <v>-5448985.03401361</v>
      </c>
      <c r="Q17" s="40" t="n">
        <f aca="false">Q16+IF($A17&lt;Inputs!$B$9,0,F$4*Inputs!$B$23*MIN(1,($A17-Inputs!$B$9+1)/(Inputs!$B$10-Inputs!$B$9+1)))*Inputs!$B$4*$A$7-$B17</f>
        <v>-5419217.68707483</v>
      </c>
      <c r="R17" s="40" t="n">
        <f aca="false">R16+IF($A17&lt;Inputs!$B$9,0,B$4*Inputs!$B$23*MIN(1,($A17-Inputs!$B$9+1)/(Inputs!$B$10-Inputs!$B$9+1)))*Inputs!$B$4*$A$8-$B17</f>
        <v>-5525057.14285714</v>
      </c>
      <c r="S17" s="40" t="n">
        <f aca="false">S16+IF($A17&lt;Inputs!$B$9,0,C$4*Inputs!$B$23*MIN(1,($A17-Inputs!$B$9+1)/(Inputs!$B$10-Inputs!$B$9+1)))*Inputs!$B$4*$A$8-$B17</f>
        <v>-5490328.57142857</v>
      </c>
      <c r="T17" s="40" t="n">
        <f aca="false">T16+IF($A17&lt;Inputs!$B$9,0,D$4*Inputs!$B$23*MIN(1,($A17-Inputs!$B$9+1)/(Inputs!$B$10-Inputs!$B$9+1)))*Inputs!$B$4*$A$8-$B17</f>
        <v>-5455600</v>
      </c>
      <c r="U17" s="40" t="n">
        <f aca="false">U16+IF($A17&lt;Inputs!$B$9,0,E$4*Inputs!$B$23*MIN(1,($A17-Inputs!$B$9+1)/(Inputs!$B$10-Inputs!$B$9+1)))*Inputs!$B$4*$A$8-$B17</f>
        <v>-5420871.42857143</v>
      </c>
      <c r="V17" s="40" t="n">
        <f aca="false">V16+IF($A17&lt;Inputs!$B$9,0,F$4*Inputs!$B$23*MIN(1,($A17-Inputs!$B$9+1)/(Inputs!$B$10-Inputs!$B$9+1)))*Inputs!$B$4*$A$8-$B17</f>
        <v>-5386142.85714286</v>
      </c>
    </row>
    <row r="18" customFormat="false" ht="15" hidden="false" customHeight="true" outlineLevel="0" collapsed="false">
      <c r="A18" s="14" t="n">
        <v>6</v>
      </c>
      <c r="B18" s="43" t="n">
        <f aca="false">Cashflow!B10</f>
        <v>340333.333333333</v>
      </c>
      <c r="C18" s="40" t="n">
        <f aca="false">C17+IF($A18&lt;Inputs!$B$9,0,B$4*Inputs!$B$23*MIN(1,($A18-Inputs!$B$9+1)/(Inputs!$B$10-Inputs!$B$9+1)))*Inputs!$B$4*$A$5-$B18</f>
        <v>-5852160.54421769</v>
      </c>
      <c r="D18" s="40" t="n">
        <f aca="false">D17+IF($A18&lt;Inputs!$B$9,0,C$4*Inputs!$B$23*MIN(1,($A18-Inputs!$B$9+1)/(Inputs!$B$10-Inputs!$B$9+1)))*Inputs!$B$4*$A$5-$B18</f>
        <v>-5812470.74829932</v>
      </c>
      <c r="E18" s="40" t="n">
        <f aca="false">E17+IF($A18&lt;Inputs!$B$9,0,D$4*Inputs!$B$23*MIN(1,($A18-Inputs!$B$9+1)/(Inputs!$B$10-Inputs!$B$9+1)))*Inputs!$B$4*$A$5-$B18</f>
        <v>-5772780.95238095</v>
      </c>
      <c r="F18" s="40" t="n">
        <f aca="false">F17+IF($A18&lt;Inputs!$B$9,0,E$4*Inputs!$B$23*MIN(1,($A18-Inputs!$B$9+1)/(Inputs!$B$10-Inputs!$B$9+1)))*Inputs!$B$4*$A$5-$B18</f>
        <v>-5733091.15646259</v>
      </c>
      <c r="G18" s="40" t="n">
        <f aca="false">G17+IF($A18&lt;Inputs!$B$9,0,F$4*Inputs!$B$23*MIN(1,($A18-Inputs!$B$9+1)/(Inputs!$B$10-Inputs!$B$9+1)))*Inputs!$B$4*$A$5-$B18</f>
        <v>-5693401.36054422</v>
      </c>
      <c r="H18" s="40" t="n">
        <f aca="false">H17+IF($A18&lt;Inputs!$B$9,0,B$4*Inputs!$B$23*MIN(1,($A18-Inputs!$B$9+1)/(Inputs!$B$10-Inputs!$B$9+1)))*Inputs!$B$4*$A$6-$B18</f>
        <v>-5825700.68027211</v>
      </c>
      <c r="I18" s="40" t="n">
        <f aca="false">I17+IF($A18&lt;Inputs!$B$9,0,C$4*Inputs!$B$23*MIN(1,($A18-Inputs!$B$9+1)/(Inputs!$B$10-Inputs!$B$9+1)))*Inputs!$B$4*$A$6-$B18</f>
        <v>-5776088.43537415</v>
      </c>
      <c r="J18" s="40" t="n">
        <f aca="false">J17+IF($A18&lt;Inputs!$B$9,0,D$4*Inputs!$B$23*MIN(1,($A18-Inputs!$B$9+1)/(Inputs!$B$10-Inputs!$B$9+1)))*Inputs!$B$4*$A$6-$B18</f>
        <v>-5726476.19047619</v>
      </c>
      <c r="K18" s="40" t="n">
        <f aca="false">K17+IF($A18&lt;Inputs!$B$9,0,E$4*Inputs!$B$23*MIN(1,($A18-Inputs!$B$9+1)/(Inputs!$B$10-Inputs!$B$9+1)))*Inputs!$B$4*$A$6-$B18</f>
        <v>-5676863.94557823</v>
      </c>
      <c r="L18" s="40" t="n">
        <f aca="false">L17+IF($A18&lt;Inputs!$B$9,0,F$4*Inputs!$B$23*MIN(1,($A18-Inputs!$B$9+1)/(Inputs!$B$10-Inputs!$B$9+1)))*Inputs!$B$4*$A$6-$B18</f>
        <v>-5627251.70068027</v>
      </c>
      <c r="M18" s="40" t="n">
        <f aca="false">M17+IF($A18&lt;Inputs!$B$9,0,B$4*Inputs!$B$23*MIN(1,($A18-Inputs!$B$9+1)/(Inputs!$B$10-Inputs!$B$9+1)))*Inputs!$B$4*$A$7-$B18</f>
        <v>-5799240.81632653</v>
      </c>
      <c r="N18" s="40" t="n">
        <f aca="false">N17+IF($A18&lt;Inputs!$B$9,0,C$4*Inputs!$B$23*MIN(1,($A18-Inputs!$B$9+1)/(Inputs!$B$10-Inputs!$B$9+1)))*Inputs!$B$4*$A$7-$B18</f>
        <v>-5739706.12244898</v>
      </c>
      <c r="O18" s="40" t="n">
        <f aca="false">O17+IF($A18&lt;Inputs!$B$9,0,D$4*Inputs!$B$23*MIN(1,($A18-Inputs!$B$9+1)/(Inputs!$B$10-Inputs!$B$9+1)))*Inputs!$B$4*$A$7-$B18</f>
        <v>-5680171.42857143</v>
      </c>
      <c r="P18" s="40" t="n">
        <f aca="false">P17+IF($A18&lt;Inputs!$B$9,0,E$4*Inputs!$B$23*MIN(1,($A18-Inputs!$B$9+1)/(Inputs!$B$10-Inputs!$B$9+1)))*Inputs!$B$4*$A$7-$B18</f>
        <v>-5620636.73469388</v>
      </c>
      <c r="Q18" s="40" t="n">
        <f aca="false">Q17+IF($A18&lt;Inputs!$B$9,0,F$4*Inputs!$B$23*MIN(1,($A18-Inputs!$B$9+1)/(Inputs!$B$10-Inputs!$B$9+1)))*Inputs!$B$4*$A$7-$B18</f>
        <v>-5561102.04081633</v>
      </c>
      <c r="R18" s="40" t="n">
        <f aca="false">R17+IF($A18&lt;Inputs!$B$9,0,B$4*Inputs!$B$23*MIN(1,($A18-Inputs!$B$9+1)/(Inputs!$B$10-Inputs!$B$9+1)))*Inputs!$B$4*$A$8-$B18</f>
        <v>-5772780.95238095</v>
      </c>
      <c r="S18" s="40" t="n">
        <f aca="false">S17+IF($A18&lt;Inputs!$B$9,0,C$4*Inputs!$B$23*MIN(1,($A18-Inputs!$B$9+1)/(Inputs!$B$10-Inputs!$B$9+1)))*Inputs!$B$4*$A$8-$B18</f>
        <v>-5703323.80952381</v>
      </c>
      <c r="T18" s="40" t="n">
        <f aca="false">T17+IF($A18&lt;Inputs!$B$9,0,D$4*Inputs!$B$23*MIN(1,($A18-Inputs!$B$9+1)/(Inputs!$B$10-Inputs!$B$9+1)))*Inputs!$B$4*$A$8-$B18</f>
        <v>-5633866.66666667</v>
      </c>
      <c r="U18" s="40" t="n">
        <f aca="false">U17+IF($A18&lt;Inputs!$B$9,0,E$4*Inputs!$B$23*MIN(1,($A18-Inputs!$B$9+1)/(Inputs!$B$10-Inputs!$B$9+1)))*Inputs!$B$4*$A$8-$B18</f>
        <v>-5564409.52380952</v>
      </c>
      <c r="V18" s="40" t="n">
        <f aca="false">V17+IF($A18&lt;Inputs!$B$9,0,F$4*Inputs!$B$23*MIN(1,($A18-Inputs!$B$9+1)/(Inputs!$B$10-Inputs!$B$9+1)))*Inputs!$B$4*$A$8-$B18</f>
        <v>-5494952.38095238</v>
      </c>
    </row>
    <row r="19" customFormat="false" ht="15" hidden="false" customHeight="true" outlineLevel="0" collapsed="false">
      <c r="A19" s="14" t="n">
        <v>7</v>
      </c>
      <c r="B19" s="43" t="n">
        <f aca="false">Cashflow!B11</f>
        <v>340333.333333333</v>
      </c>
      <c r="C19" s="40" t="n">
        <f aca="false">C18+IF($A19&lt;Inputs!$B$9,0,B$4*Inputs!$B$23*MIN(1,($A19-Inputs!$B$9+1)/(Inputs!$B$10-Inputs!$B$9+1)))*Inputs!$B$4*$A$5-$B19</f>
        <v>-6121934.24036281</v>
      </c>
      <c r="D19" s="40" t="n">
        <f aca="false">D18+IF($A19&lt;Inputs!$B$9,0,C$4*Inputs!$B$23*MIN(1,($A19-Inputs!$B$9+1)/(Inputs!$B$10-Inputs!$B$9+1)))*Inputs!$B$4*$A$5-$B19</f>
        <v>-6055784.58049887</v>
      </c>
      <c r="E19" s="40" t="n">
        <f aca="false">E18+IF($A19&lt;Inputs!$B$9,0,D$4*Inputs!$B$23*MIN(1,($A19-Inputs!$B$9+1)/(Inputs!$B$10-Inputs!$B$9+1)))*Inputs!$B$4*$A$5-$B19</f>
        <v>-5989634.92063492</v>
      </c>
      <c r="F19" s="40" t="n">
        <f aca="false">F18+IF($A19&lt;Inputs!$B$9,0,E$4*Inputs!$B$23*MIN(1,($A19-Inputs!$B$9+1)/(Inputs!$B$10-Inputs!$B$9+1)))*Inputs!$B$4*$A$5-$B19</f>
        <v>-5923485.26077098</v>
      </c>
      <c r="G19" s="40" t="n">
        <f aca="false">G18+IF($A19&lt;Inputs!$B$9,0,F$4*Inputs!$B$23*MIN(1,($A19-Inputs!$B$9+1)/(Inputs!$B$10-Inputs!$B$9+1)))*Inputs!$B$4*$A$5-$B19</f>
        <v>-5857335.60090703</v>
      </c>
      <c r="H19" s="40" t="n">
        <f aca="false">H18+IF($A19&lt;Inputs!$B$9,0,B$4*Inputs!$B$23*MIN(1,($A19-Inputs!$B$9+1)/(Inputs!$B$10-Inputs!$B$9+1)))*Inputs!$B$4*$A$6-$B19</f>
        <v>-6077834.46712018</v>
      </c>
      <c r="I19" s="40" t="n">
        <f aca="false">I18+IF($A19&lt;Inputs!$B$9,0,C$4*Inputs!$B$23*MIN(1,($A19-Inputs!$B$9+1)/(Inputs!$B$10-Inputs!$B$9+1)))*Inputs!$B$4*$A$6-$B19</f>
        <v>-5995147.39229025</v>
      </c>
      <c r="J19" s="40" t="n">
        <f aca="false">J18+IF($A19&lt;Inputs!$B$9,0,D$4*Inputs!$B$23*MIN(1,($A19-Inputs!$B$9+1)/(Inputs!$B$10-Inputs!$B$9+1)))*Inputs!$B$4*$A$6-$B19</f>
        <v>-5912460.31746032</v>
      </c>
      <c r="K19" s="40" t="n">
        <f aca="false">K18+IF($A19&lt;Inputs!$B$9,0,E$4*Inputs!$B$23*MIN(1,($A19-Inputs!$B$9+1)/(Inputs!$B$10-Inputs!$B$9+1)))*Inputs!$B$4*$A$6-$B19</f>
        <v>-5829773.24263038</v>
      </c>
      <c r="L19" s="40" t="n">
        <f aca="false">L18+IF($A19&lt;Inputs!$B$9,0,F$4*Inputs!$B$23*MIN(1,($A19-Inputs!$B$9+1)/(Inputs!$B$10-Inputs!$B$9+1)))*Inputs!$B$4*$A$6-$B19</f>
        <v>-5747086.16780045</v>
      </c>
      <c r="M19" s="40" t="n">
        <f aca="false">M18+IF($A19&lt;Inputs!$B$9,0,B$4*Inputs!$B$23*MIN(1,($A19-Inputs!$B$9+1)/(Inputs!$B$10-Inputs!$B$9+1)))*Inputs!$B$4*$A$7-$B19</f>
        <v>-6033734.69387755</v>
      </c>
      <c r="N19" s="40" t="n">
        <f aca="false">N18+IF($A19&lt;Inputs!$B$9,0,C$4*Inputs!$B$23*MIN(1,($A19-Inputs!$B$9+1)/(Inputs!$B$10-Inputs!$B$9+1)))*Inputs!$B$4*$A$7-$B19</f>
        <v>-5934510.20408163</v>
      </c>
      <c r="O19" s="40" t="n">
        <f aca="false">O18+IF($A19&lt;Inputs!$B$9,0,D$4*Inputs!$B$23*MIN(1,($A19-Inputs!$B$9+1)/(Inputs!$B$10-Inputs!$B$9+1)))*Inputs!$B$4*$A$7-$B19</f>
        <v>-5835285.71428571</v>
      </c>
      <c r="P19" s="40" t="n">
        <f aca="false">P18+IF($A19&lt;Inputs!$B$9,0,E$4*Inputs!$B$23*MIN(1,($A19-Inputs!$B$9+1)/(Inputs!$B$10-Inputs!$B$9+1)))*Inputs!$B$4*$A$7-$B19</f>
        <v>-5736061.22448979</v>
      </c>
      <c r="Q19" s="40" t="n">
        <f aca="false">Q18+IF($A19&lt;Inputs!$B$9,0,F$4*Inputs!$B$23*MIN(1,($A19-Inputs!$B$9+1)/(Inputs!$B$10-Inputs!$B$9+1)))*Inputs!$B$4*$A$7-$B19</f>
        <v>-5636836.73469388</v>
      </c>
      <c r="R19" s="40" t="n">
        <f aca="false">R18+IF($A19&lt;Inputs!$B$9,0,B$4*Inputs!$B$23*MIN(1,($A19-Inputs!$B$9+1)/(Inputs!$B$10-Inputs!$B$9+1)))*Inputs!$B$4*$A$8-$B19</f>
        <v>-5989634.92063492</v>
      </c>
      <c r="S19" s="40" t="n">
        <f aca="false">S18+IF($A19&lt;Inputs!$B$9,0,C$4*Inputs!$B$23*MIN(1,($A19-Inputs!$B$9+1)/(Inputs!$B$10-Inputs!$B$9+1)))*Inputs!$B$4*$A$8-$B19</f>
        <v>-5873873.01587302</v>
      </c>
      <c r="T19" s="40" t="n">
        <f aca="false">T18+IF($A19&lt;Inputs!$B$9,0,D$4*Inputs!$B$23*MIN(1,($A19-Inputs!$B$9+1)/(Inputs!$B$10-Inputs!$B$9+1)))*Inputs!$B$4*$A$8-$B19</f>
        <v>-5758111.11111111</v>
      </c>
      <c r="U19" s="40" t="n">
        <f aca="false">U18+IF($A19&lt;Inputs!$B$9,0,E$4*Inputs!$B$23*MIN(1,($A19-Inputs!$B$9+1)/(Inputs!$B$10-Inputs!$B$9+1)))*Inputs!$B$4*$A$8-$B19</f>
        <v>-5642349.20634921</v>
      </c>
      <c r="V19" s="40" t="n">
        <f aca="false">V18+IF($A19&lt;Inputs!$B$9,0,F$4*Inputs!$B$23*MIN(1,($A19-Inputs!$B$9+1)/(Inputs!$B$10-Inputs!$B$9+1)))*Inputs!$B$4*$A$8-$B19</f>
        <v>-5526587.3015873</v>
      </c>
    </row>
    <row r="20" customFormat="false" ht="15" hidden="false" customHeight="true" outlineLevel="0" collapsed="false">
      <c r="A20" s="14" t="n">
        <v>8</v>
      </c>
      <c r="B20" s="43" t="n">
        <f aca="false">Cashflow!B12</f>
        <v>340333.333333333</v>
      </c>
      <c r="C20" s="40" t="n">
        <f aca="false">C19+IF($A20&lt;Inputs!$B$9,0,B$4*Inputs!$B$23*MIN(1,($A20-Inputs!$B$9+1)/(Inputs!$B$10-Inputs!$B$9+1)))*Inputs!$B$4*$A$5-$B20</f>
        <v>-6374068.02721088</v>
      </c>
      <c r="D20" s="40" t="n">
        <f aca="false">D19+IF($A20&lt;Inputs!$B$9,0,C$4*Inputs!$B$23*MIN(1,($A20-Inputs!$B$9+1)/(Inputs!$B$10-Inputs!$B$9+1)))*Inputs!$B$4*$A$5-$B20</f>
        <v>-6274843.53741496</v>
      </c>
      <c r="E20" s="40" t="n">
        <f aca="false">E19+IF($A20&lt;Inputs!$B$9,0,D$4*Inputs!$B$23*MIN(1,($A20-Inputs!$B$9+1)/(Inputs!$B$10-Inputs!$B$9+1)))*Inputs!$B$4*$A$5-$B20</f>
        <v>-6175619.04761905</v>
      </c>
      <c r="F20" s="40" t="n">
        <f aca="false">F19+IF($A20&lt;Inputs!$B$9,0,E$4*Inputs!$B$23*MIN(1,($A20-Inputs!$B$9+1)/(Inputs!$B$10-Inputs!$B$9+1)))*Inputs!$B$4*$A$5-$B20</f>
        <v>-6076394.55782313</v>
      </c>
      <c r="G20" s="40" t="n">
        <f aca="false">G19+IF($A20&lt;Inputs!$B$9,0,F$4*Inputs!$B$23*MIN(1,($A20-Inputs!$B$9+1)/(Inputs!$B$10-Inputs!$B$9+1)))*Inputs!$B$4*$A$5-$B20</f>
        <v>-5977170.06802721</v>
      </c>
      <c r="H20" s="40" t="n">
        <f aca="false">H19+IF($A20&lt;Inputs!$B$9,0,B$4*Inputs!$B$23*MIN(1,($A20-Inputs!$B$9+1)/(Inputs!$B$10-Inputs!$B$9+1)))*Inputs!$B$4*$A$6-$B20</f>
        <v>-6307918.36734694</v>
      </c>
      <c r="I20" s="40" t="n">
        <f aca="false">I19+IF($A20&lt;Inputs!$B$9,0,C$4*Inputs!$B$23*MIN(1,($A20-Inputs!$B$9+1)/(Inputs!$B$10-Inputs!$B$9+1)))*Inputs!$B$4*$A$6-$B20</f>
        <v>-6183887.75510204</v>
      </c>
      <c r="J20" s="40" t="n">
        <f aca="false">J19+IF($A20&lt;Inputs!$B$9,0,D$4*Inputs!$B$23*MIN(1,($A20-Inputs!$B$9+1)/(Inputs!$B$10-Inputs!$B$9+1)))*Inputs!$B$4*$A$6-$B20</f>
        <v>-6059857.14285714</v>
      </c>
      <c r="K20" s="40" t="n">
        <f aca="false">K19+IF($A20&lt;Inputs!$B$9,0,E$4*Inputs!$B$23*MIN(1,($A20-Inputs!$B$9+1)/(Inputs!$B$10-Inputs!$B$9+1)))*Inputs!$B$4*$A$6-$B20</f>
        <v>-5935826.53061224</v>
      </c>
      <c r="L20" s="40" t="n">
        <f aca="false">L19+IF($A20&lt;Inputs!$B$9,0,F$4*Inputs!$B$23*MIN(1,($A20-Inputs!$B$9+1)/(Inputs!$B$10-Inputs!$B$9+1)))*Inputs!$B$4*$A$6-$B20</f>
        <v>-5811795.91836735</v>
      </c>
      <c r="M20" s="40" t="n">
        <f aca="false">M19+IF($A20&lt;Inputs!$B$9,0,B$4*Inputs!$B$23*MIN(1,($A20-Inputs!$B$9+1)/(Inputs!$B$10-Inputs!$B$9+1)))*Inputs!$B$4*$A$7-$B20</f>
        <v>-6241768.70748299</v>
      </c>
      <c r="N20" s="40" t="n">
        <f aca="false">N19+IF($A20&lt;Inputs!$B$9,0,C$4*Inputs!$B$23*MIN(1,($A20-Inputs!$B$9+1)/(Inputs!$B$10-Inputs!$B$9+1)))*Inputs!$B$4*$A$7-$B20</f>
        <v>-6092931.97278911</v>
      </c>
      <c r="O20" s="40" t="n">
        <f aca="false">O19+IF($A20&lt;Inputs!$B$9,0,D$4*Inputs!$B$23*MIN(1,($A20-Inputs!$B$9+1)/(Inputs!$B$10-Inputs!$B$9+1)))*Inputs!$B$4*$A$7-$B20</f>
        <v>-5944095.23809524</v>
      </c>
      <c r="P20" s="40" t="n">
        <f aca="false">P19+IF($A20&lt;Inputs!$B$9,0,E$4*Inputs!$B$23*MIN(1,($A20-Inputs!$B$9+1)/(Inputs!$B$10-Inputs!$B$9+1)))*Inputs!$B$4*$A$7-$B20</f>
        <v>-5795258.50340136</v>
      </c>
      <c r="Q20" s="40" t="n">
        <f aca="false">Q19+IF($A20&lt;Inputs!$B$9,0,F$4*Inputs!$B$23*MIN(1,($A20-Inputs!$B$9+1)/(Inputs!$B$10-Inputs!$B$9+1)))*Inputs!$B$4*$A$7-$B20</f>
        <v>-5646421.76870748</v>
      </c>
      <c r="R20" s="40" t="n">
        <f aca="false">R19+IF($A20&lt;Inputs!$B$9,0,B$4*Inputs!$B$23*MIN(1,($A20-Inputs!$B$9+1)/(Inputs!$B$10-Inputs!$B$9+1)))*Inputs!$B$4*$A$8-$B20</f>
        <v>-6175619.04761905</v>
      </c>
      <c r="S20" s="40" t="n">
        <f aca="false">S19+IF($A20&lt;Inputs!$B$9,0,C$4*Inputs!$B$23*MIN(1,($A20-Inputs!$B$9+1)/(Inputs!$B$10-Inputs!$B$9+1)))*Inputs!$B$4*$A$8-$B20</f>
        <v>-6001976.19047619</v>
      </c>
      <c r="T20" s="40" t="n">
        <f aca="false">T19+IF($A20&lt;Inputs!$B$9,0,D$4*Inputs!$B$23*MIN(1,($A20-Inputs!$B$9+1)/(Inputs!$B$10-Inputs!$B$9+1)))*Inputs!$B$4*$A$8-$B20</f>
        <v>-5828333.33333333</v>
      </c>
      <c r="U20" s="40" t="n">
        <f aca="false">U19+IF($A20&lt;Inputs!$B$9,0,E$4*Inputs!$B$23*MIN(1,($A20-Inputs!$B$9+1)/(Inputs!$B$10-Inputs!$B$9+1)))*Inputs!$B$4*$A$8-$B20</f>
        <v>-5654690.47619048</v>
      </c>
      <c r="V20" s="40" t="n">
        <f aca="false">V19+IF($A20&lt;Inputs!$B$9,0,F$4*Inputs!$B$23*MIN(1,($A20-Inputs!$B$9+1)/(Inputs!$B$10-Inputs!$B$9+1)))*Inputs!$B$4*$A$8-$B20</f>
        <v>-5481047.61904762</v>
      </c>
    </row>
    <row r="21" customFormat="false" ht="15" hidden="false" customHeight="true" outlineLevel="0" collapsed="false">
      <c r="A21" s="14" t="n">
        <v>9</v>
      </c>
      <c r="B21" s="43" t="n">
        <f aca="false">Cashflow!B13</f>
        <v>340333.333333333</v>
      </c>
      <c r="C21" s="40" t="n">
        <f aca="false">C20+IF($A21&lt;Inputs!$B$9,0,B$4*Inputs!$B$23*MIN(1,($A21-Inputs!$B$9+1)/(Inputs!$B$10-Inputs!$B$9+1)))*Inputs!$B$4*$A$5-$B21</f>
        <v>-6608561.9047619</v>
      </c>
      <c r="D21" s="40" t="n">
        <f aca="false">D20+IF($A21&lt;Inputs!$B$9,0,C$4*Inputs!$B$23*MIN(1,($A21-Inputs!$B$9+1)/(Inputs!$B$10-Inputs!$B$9+1)))*Inputs!$B$4*$A$5-$B21</f>
        <v>-6469647.61904762</v>
      </c>
      <c r="E21" s="40" t="n">
        <f aca="false">E20+IF($A21&lt;Inputs!$B$9,0,D$4*Inputs!$B$23*MIN(1,($A21-Inputs!$B$9+1)/(Inputs!$B$10-Inputs!$B$9+1)))*Inputs!$B$4*$A$5-$B21</f>
        <v>-6330733.33333333</v>
      </c>
      <c r="F21" s="40" t="n">
        <f aca="false">F20+IF($A21&lt;Inputs!$B$9,0,E$4*Inputs!$B$23*MIN(1,($A21-Inputs!$B$9+1)/(Inputs!$B$10-Inputs!$B$9+1)))*Inputs!$B$4*$A$5-$B21</f>
        <v>-6191819.04761905</v>
      </c>
      <c r="G21" s="40" t="n">
        <f aca="false">G20+IF($A21&lt;Inputs!$B$9,0,F$4*Inputs!$B$23*MIN(1,($A21-Inputs!$B$9+1)/(Inputs!$B$10-Inputs!$B$9+1)))*Inputs!$B$4*$A$5-$B21</f>
        <v>-6052904.76190476</v>
      </c>
      <c r="H21" s="40" t="n">
        <f aca="false">H20+IF($A21&lt;Inputs!$B$9,0,B$4*Inputs!$B$23*MIN(1,($A21-Inputs!$B$9+1)/(Inputs!$B$10-Inputs!$B$9+1)))*Inputs!$B$4*$A$6-$B21</f>
        <v>-6515952.38095238</v>
      </c>
      <c r="I21" s="40" t="n">
        <f aca="false">I20+IF($A21&lt;Inputs!$B$9,0,C$4*Inputs!$B$23*MIN(1,($A21-Inputs!$B$9+1)/(Inputs!$B$10-Inputs!$B$9+1)))*Inputs!$B$4*$A$6-$B21</f>
        <v>-6342309.52380952</v>
      </c>
      <c r="J21" s="40" t="n">
        <f aca="false">J20+IF($A21&lt;Inputs!$B$9,0,D$4*Inputs!$B$23*MIN(1,($A21-Inputs!$B$9+1)/(Inputs!$B$10-Inputs!$B$9+1)))*Inputs!$B$4*$A$6-$B21</f>
        <v>-6168666.66666666</v>
      </c>
      <c r="K21" s="40" t="n">
        <f aca="false">K20+IF($A21&lt;Inputs!$B$9,0,E$4*Inputs!$B$23*MIN(1,($A21-Inputs!$B$9+1)/(Inputs!$B$10-Inputs!$B$9+1)))*Inputs!$B$4*$A$6-$B21</f>
        <v>-5995023.80952381</v>
      </c>
      <c r="L21" s="40" t="n">
        <f aca="false">L20+IF($A21&lt;Inputs!$B$9,0,F$4*Inputs!$B$23*MIN(1,($A21-Inputs!$B$9+1)/(Inputs!$B$10-Inputs!$B$9+1)))*Inputs!$B$4*$A$6-$B21</f>
        <v>-5821380.95238095</v>
      </c>
      <c r="M21" s="40" t="n">
        <f aca="false">M20+IF($A21&lt;Inputs!$B$9,0,B$4*Inputs!$B$23*MIN(1,($A21-Inputs!$B$9+1)/(Inputs!$B$10-Inputs!$B$9+1)))*Inputs!$B$4*$A$7-$B21</f>
        <v>-6423342.85714286</v>
      </c>
      <c r="N21" s="40" t="n">
        <f aca="false">N20+IF($A21&lt;Inputs!$B$9,0,C$4*Inputs!$B$23*MIN(1,($A21-Inputs!$B$9+1)/(Inputs!$B$10-Inputs!$B$9+1)))*Inputs!$B$4*$A$7-$B21</f>
        <v>-6214971.42857143</v>
      </c>
      <c r="O21" s="40" t="n">
        <f aca="false">O20+IF($A21&lt;Inputs!$B$9,0,D$4*Inputs!$B$23*MIN(1,($A21-Inputs!$B$9+1)/(Inputs!$B$10-Inputs!$B$9+1)))*Inputs!$B$4*$A$7-$B21</f>
        <v>-6006600</v>
      </c>
      <c r="P21" s="40" t="n">
        <f aca="false">P20+IF($A21&lt;Inputs!$B$9,0,E$4*Inputs!$B$23*MIN(1,($A21-Inputs!$B$9+1)/(Inputs!$B$10-Inputs!$B$9+1)))*Inputs!$B$4*$A$7-$B21</f>
        <v>-5798228.57142857</v>
      </c>
      <c r="Q21" s="40" t="n">
        <f aca="false">Q20+IF($A21&lt;Inputs!$B$9,0,F$4*Inputs!$B$23*MIN(1,($A21-Inputs!$B$9+1)/(Inputs!$B$10-Inputs!$B$9+1)))*Inputs!$B$4*$A$7-$B21</f>
        <v>-5589857.14285714</v>
      </c>
      <c r="R21" s="40" t="n">
        <f aca="false">R20+IF($A21&lt;Inputs!$B$9,0,B$4*Inputs!$B$23*MIN(1,($A21-Inputs!$B$9+1)/(Inputs!$B$10-Inputs!$B$9+1)))*Inputs!$B$4*$A$8-$B21</f>
        <v>-6330733.33333333</v>
      </c>
      <c r="S21" s="40" t="n">
        <f aca="false">S20+IF($A21&lt;Inputs!$B$9,0,C$4*Inputs!$B$23*MIN(1,($A21-Inputs!$B$9+1)/(Inputs!$B$10-Inputs!$B$9+1)))*Inputs!$B$4*$A$8-$B21</f>
        <v>-6087633.33333333</v>
      </c>
      <c r="T21" s="40" t="n">
        <f aca="false">T20+IF($A21&lt;Inputs!$B$9,0,D$4*Inputs!$B$23*MIN(1,($A21-Inputs!$B$9+1)/(Inputs!$B$10-Inputs!$B$9+1)))*Inputs!$B$4*$A$8-$B21</f>
        <v>-5844533.33333333</v>
      </c>
      <c r="U21" s="40" t="n">
        <f aca="false">U20+IF($A21&lt;Inputs!$B$9,0,E$4*Inputs!$B$23*MIN(1,($A21-Inputs!$B$9+1)/(Inputs!$B$10-Inputs!$B$9+1)))*Inputs!$B$4*$A$8-$B21</f>
        <v>-5601433.33333333</v>
      </c>
      <c r="V21" s="40" t="n">
        <f aca="false">V20+IF($A21&lt;Inputs!$B$9,0,F$4*Inputs!$B$23*MIN(1,($A21-Inputs!$B$9+1)/(Inputs!$B$10-Inputs!$B$9+1)))*Inputs!$B$4*$A$8-$B21</f>
        <v>-5358333.33333333</v>
      </c>
    </row>
    <row r="22" customFormat="false" ht="15" hidden="false" customHeight="true" outlineLevel="0" collapsed="false">
      <c r="A22" s="14" t="n">
        <v>10</v>
      </c>
      <c r="B22" s="43" t="n">
        <f aca="false">Cashflow!B14</f>
        <v>340333.333333333</v>
      </c>
      <c r="C22" s="40" t="n">
        <f aca="false">C21+IF($A22&lt;Inputs!$B$9,0,B$4*Inputs!$B$23*MIN(1,($A22-Inputs!$B$9+1)/(Inputs!$B$10-Inputs!$B$9+1)))*Inputs!$B$4*$A$5-$B22</f>
        <v>-6825415.87301587</v>
      </c>
      <c r="D22" s="40" t="n">
        <f aca="false">D21+IF($A22&lt;Inputs!$B$9,0,C$4*Inputs!$B$23*MIN(1,($A22-Inputs!$B$9+1)/(Inputs!$B$10-Inputs!$B$9+1)))*Inputs!$B$4*$A$5-$B22</f>
        <v>-6640196.82539682</v>
      </c>
      <c r="E22" s="40" t="n">
        <f aca="false">E21+IF($A22&lt;Inputs!$B$9,0,D$4*Inputs!$B$23*MIN(1,($A22-Inputs!$B$9+1)/(Inputs!$B$10-Inputs!$B$9+1)))*Inputs!$B$4*$A$5-$B22</f>
        <v>-6454977.77777778</v>
      </c>
      <c r="F22" s="40" t="n">
        <f aca="false">F21+IF($A22&lt;Inputs!$B$9,0,E$4*Inputs!$B$23*MIN(1,($A22-Inputs!$B$9+1)/(Inputs!$B$10-Inputs!$B$9+1)))*Inputs!$B$4*$A$5-$B22</f>
        <v>-6269758.73015873</v>
      </c>
      <c r="G22" s="40" t="n">
        <f aca="false">G21+IF($A22&lt;Inputs!$B$9,0,F$4*Inputs!$B$23*MIN(1,($A22-Inputs!$B$9+1)/(Inputs!$B$10-Inputs!$B$9+1)))*Inputs!$B$4*$A$5-$B22</f>
        <v>-6084539.68253968</v>
      </c>
      <c r="H22" s="40" t="n">
        <f aca="false">H21+IF($A22&lt;Inputs!$B$9,0,B$4*Inputs!$B$23*MIN(1,($A22-Inputs!$B$9+1)/(Inputs!$B$10-Inputs!$B$9+1)))*Inputs!$B$4*$A$6-$B22</f>
        <v>-6701936.50793651</v>
      </c>
      <c r="I22" s="40" t="n">
        <f aca="false">I21+IF($A22&lt;Inputs!$B$9,0,C$4*Inputs!$B$23*MIN(1,($A22-Inputs!$B$9+1)/(Inputs!$B$10-Inputs!$B$9+1)))*Inputs!$B$4*$A$6-$B22</f>
        <v>-6470412.6984127</v>
      </c>
      <c r="J22" s="40" t="n">
        <f aca="false">J21+IF($A22&lt;Inputs!$B$9,0,D$4*Inputs!$B$23*MIN(1,($A22-Inputs!$B$9+1)/(Inputs!$B$10-Inputs!$B$9+1)))*Inputs!$B$4*$A$6-$B22</f>
        <v>-6238888.88888889</v>
      </c>
      <c r="K22" s="40" t="n">
        <f aca="false">K21+IF($A22&lt;Inputs!$B$9,0,E$4*Inputs!$B$23*MIN(1,($A22-Inputs!$B$9+1)/(Inputs!$B$10-Inputs!$B$9+1)))*Inputs!$B$4*$A$6-$B22</f>
        <v>-6007365.07936508</v>
      </c>
      <c r="L22" s="40" t="n">
        <f aca="false">L21+IF($A22&lt;Inputs!$B$9,0,F$4*Inputs!$B$23*MIN(1,($A22-Inputs!$B$9+1)/(Inputs!$B$10-Inputs!$B$9+1)))*Inputs!$B$4*$A$6-$B22</f>
        <v>-5775841.26984127</v>
      </c>
      <c r="M22" s="40" t="n">
        <f aca="false">M21+IF($A22&lt;Inputs!$B$9,0,B$4*Inputs!$B$23*MIN(1,($A22-Inputs!$B$9+1)/(Inputs!$B$10-Inputs!$B$9+1)))*Inputs!$B$4*$A$7-$B22</f>
        <v>-6578457.14285714</v>
      </c>
      <c r="N22" s="40" t="n">
        <f aca="false">N21+IF($A22&lt;Inputs!$B$9,0,C$4*Inputs!$B$23*MIN(1,($A22-Inputs!$B$9+1)/(Inputs!$B$10-Inputs!$B$9+1)))*Inputs!$B$4*$A$7-$B22</f>
        <v>-6300628.57142857</v>
      </c>
      <c r="O22" s="40" t="n">
        <f aca="false">O21+IF($A22&lt;Inputs!$B$9,0,D$4*Inputs!$B$23*MIN(1,($A22-Inputs!$B$9+1)/(Inputs!$B$10-Inputs!$B$9+1)))*Inputs!$B$4*$A$7-$B22</f>
        <v>-6022800</v>
      </c>
      <c r="P22" s="40" t="n">
        <f aca="false">P21+IF($A22&lt;Inputs!$B$9,0,E$4*Inputs!$B$23*MIN(1,($A22-Inputs!$B$9+1)/(Inputs!$B$10-Inputs!$B$9+1)))*Inputs!$B$4*$A$7-$B22</f>
        <v>-5744971.42857143</v>
      </c>
      <c r="Q22" s="40" t="n">
        <f aca="false">Q21+IF($A22&lt;Inputs!$B$9,0,F$4*Inputs!$B$23*MIN(1,($A22-Inputs!$B$9+1)/(Inputs!$B$10-Inputs!$B$9+1)))*Inputs!$B$4*$A$7-$B22</f>
        <v>-5467142.85714285</v>
      </c>
      <c r="R22" s="40" t="n">
        <f aca="false">R21+IF($A22&lt;Inputs!$B$9,0,B$4*Inputs!$B$23*MIN(1,($A22-Inputs!$B$9+1)/(Inputs!$B$10-Inputs!$B$9+1)))*Inputs!$B$4*$A$8-$B22</f>
        <v>-6454977.77777778</v>
      </c>
      <c r="S22" s="40" t="n">
        <f aca="false">S21+IF($A22&lt;Inputs!$B$9,0,C$4*Inputs!$B$23*MIN(1,($A22-Inputs!$B$9+1)/(Inputs!$B$10-Inputs!$B$9+1)))*Inputs!$B$4*$A$8-$B22</f>
        <v>-6130844.44444444</v>
      </c>
      <c r="T22" s="40" t="n">
        <f aca="false">T21+IF($A22&lt;Inputs!$B$9,0,D$4*Inputs!$B$23*MIN(1,($A22-Inputs!$B$9+1)/(Inputs!$B$10-Inputs!$B$9+1)))*Inputs!$B$4*$A$8-$B22</f>
        <v>-5806711.11111111</v>
      </c>
      <c r="U22" s="40" t="n">
        <f aca="false">U21+IF($A22&lt;Inputs!$B$9,0,E$4*Inputs!$B$23*MIN(1,($A22-Inputs!$B$9+1)/(Inputs!$B$10-Inputs!$B$9+1)))*Inputs!$B$4*$A$8-$B22</f>
        <v>-5482577.77777778</v>
      </c>
      <c r="V22" s="40" t="n">
        <f aca="false">V21+IF($A22&lt;Inputs!$B$9,0,F$4*Inputs!$B$23*MIN(1,($A22-Inputs!$B$9+1)/(Inputs!$B$10-Inputs!$B$9+1)))*Inputs!$B$4*$A$8-$B22</f>
        <v>-5158444.44444444</v>
      </c>
    </row>
    <row r="23" customFormat="false" ht="15" hidden="false" customHeight="true" outlineLevel="0" collapsed="false">
      <c r="A23" s="14" t="n">
        <v>11</v>
      </c>
      <c r="B23" s="43" t="n">
        <f aca="false">Cashflow!B15</f>
        <v>340333.333333333</v>
      </c>
      <c r="C23" s="40" t="n">
        <f aca="false">C22+IF($A23&lt;Inputs!$B$9,0,B$4*Inputs!$B$23*MIN(1,($A23-Inputs!$B$9+1)/(Inputs!$B$10-Inputs!$B$9+1)))*Inputs!$B$4*$A$5-$B23</f>
        <v>-7024629.93197279</v>
      </c>
      <c r="D23" s="40" t="n">
        <f aca="false">D22+IF($A23&lt;Inputs!$B$9,0,C$4*Inputs!$B$23*MIN(1,($A23-Inputs!$B$9+1)/(Inputs!$B$10-Inputs!$B$9+1)))*Inputs!$B$4*$A$5-$B23</f>
        <v>-6786491.15646258</v>
      </c>
      <c r="E23" s="40" t="n">
        <f aca="false">E22+IF($A23&lt;Inputs!$B$9,0,D$4*Inputs!$B$23*MIN(1,($A23-Inputs!$B$9+1)/(Inputs!$B$10-Inputs!$B$9+1)))*Inputs!$B$4*$A$5-$B23</f>
        <v>-6548352.38095238</v>
      </c>
      <c r="F23" s="40" t="n">
        <f aca="false">F22+IF($A23&lt;Inputs!$B$9,0,E$4*Inputs!$B$23*MIN(1,($A23-Inputs!$B$9+1)/(Inputs!$B$10-Inputs!$B$9+1)))*Inputs!$B$4*$A$5-$B23</f>
        <v>-6310213.60544218</v>
      </c>
      <c r="G23" s="40" t="n">
        <f aca="false">G22+IF($A23&lt;Inputs!$B$9,0,F$4*Inputs!$B$23*MIN(1,($A23-Inputs!$B$9+1)/(Inputs!$B$10-Inputs!$B$9+1)))*Inputs!$B$4*$A$5-$B23</f>
        <v>-6072074.82993197</v>
      </c>
      <c r="H23" s="40" t="n">
        <f aca="false">H22+IF($A23&lt;Inputs!$B$9,0,B$4*Inputs!$B$23*MIN(1,($A23-Inputs!$B$9+1)/(Inputs!$B$10-Inputs!$B$9+1)))*Inputs!$B$4*$A$6-$B23</f>
        <v>-6865870.74829932</v>
      </c>
      <c r="I23" s="40" t="n">
        <f aca="false">I22+IF($A23&lt;Inputs!$B$9,0,C$4*Inputs!$B$23*MIN(1,($A23-Inputs!$B$9+1)/(Inputs!$B$10-Inputs!$B$9+1)))*Inputs!$B$4*$A$6-$B23</f>
        <v>-6568197.27891156</v>
      </c>
      <c r="J23" s="40" t="n">
        <f aca="false">J22+IF($A23&lt;Inputs!$B$9,0,D$4*Inputs!$B$23*MIN(1,($A23-Inputs!$B$9+1)/(Inputs!$B$10-Inputs!$B$9+1)))*Inputs!$B$4*$A$6-$B23</f>
        <v>-6270523.80952381</v>
      </c>
      <c r="K23" s="40" t="n">
        <f aca="false">K22+IF($A23&lt;Inputs!$B$9,0,E$4*Inputs!$B$23*MIN(1,($A23-Inputs!$B$9+1)/(Inputs!$B$10-Inputs!$B$9+1)))*Inputs!$B$4*$A$6-$B23</f>
        <v>-5972850.34013605</v>
      </c>
      <c r="L23" s="40" t="n">
        <f aca="false">L22+IF($A23&lt;Inputs!$B$9,0,F$4*Inputs!$B$23*MIN(1,($A23-Inputs!$B$9+1)/(Inputs!$B$10-Inputs!$B$9+1)))*Inputs!$B$4*$A$6-$B23</f>
        <v>-5675176.8707483</v>
      </c>
      <c r="M23" s="40" t="n">
        <f aca="false">M22+IF($A23&lt;Inputs!$B$9,0,B$4*Inputs!$B$23*MIN(1,($A23-Inputs!$B$9+1)/(Inputs!$B$10-Inputs!$B$9+1)))*Inputs!$B$4*$A$7-$B23</f>
        <v>-6707111.56462585</v>
      </c>
      <c r="N23" s="40" t="n">
        <f aca="false">N22+IF($A23&lt;Inputs!$B$9,0,C$4*Inputs!$B$23*MIN(1,($A23-Inputs!$B$9+1)/(Inputs!$B$10-Inputs!$B$9+1)))*Inputs!$B$4*$A$7-$B23</f>
        <v>-6349903.40136054</v>
      </c>
      <c r="O23" s="40" t="n">
        <f aca="false">O22+IF($A23&lt;Inputs!$B$9,0,D$4*Inputs!$B$23*MIN(1,($A23-Inputs!$B$9+1)/(Inputs!$B$10-Inputs!$B$9+1)))*Inputs!$B$4*$A$7-$B23</f>
        <v>-5992695.23809524</v>
      </c>
      <c r="P23" s="40" t="n">
        <f aca="false">P22+IF($A23&lt;Inputs!$B$9,0,E$4*Inputs!$B$23*MIN(1,($A23-Inputs!$B$9+1)/(Inputs!$B$10-Inputs!$B$9+1)))*Inputs!$B$4*$A$7-$B23</f>
        <v>-5635487.07482993</v>
      </c>
      <c r="Q23" s="40" t="n">
        <f aca="false">Q22+IF($A23&lt;Inputs!$B$9,0,F$4*Inputs!$B$23*MIN(1,($A23-Inputs!$B$9+1)/(Inputs!$B$10-Inputs!$B$9+1)))*Inputs!$B$4*$A$7-$B23</f>
        <v>-5278278.91156462</v>
      </c>
      <c r="R23" s="40" t="n">
        <f aca="false">R22+IF($A23&lt;Inputs!$B$9,0,B$4*Inputs!$B$23*MIN(1,($A23-Inputs!$B$9+1)/(Inputs!$B$10-Inputs!$B$9+1)))*Inputs!$B$4*$A$8-$B23</f>
        <v>-6548352.38095238</v>
      </c>
      <c r="S23" s="40" t="n">
        <f aca="false">S22+IF($A23&lt;Inputs!$B$9,0,C$4*Inputs!$B$23*MIN(1,($A23-Inputs!$B$9+1)/(Inputs!$B$10-Inputs!$B$9+1)))*Inputs!$B$4*$A$8-$B23</f>
        <v>-6131609.52380952</v>
      </c>
      <c r="T23" s="40" t="n">
        <f aca="false">T22+IF($A23&lt;Inputs!$B$9,0,D$4*Inputs!$B$23*MIN(1,($A23-Inputs!$B$9+1)/(Inputs!$B$10-Inputs!$B$9+1)))*Inputs!$B$4*$A$8-$B23</f>
        <v>-5714866.66666667</v>
      </c>
      <c r="U23" s="40" t="n">
        <f aca="false">U22+IF($A23&lt;Inputs!$B$9,0,E$4*Inputs!$B$23*MIN(1,($A23-Inputs!$B$9+1)/(Inputs!$B$10-Inputs!$B$9+1)))*Inputs!$B$4*$A$8-$B23</f>
        <v>-5298123.80952381</v>
      </c>
      <c r="V23" s="40" t="n">
        <f aca="false">V22+IF($A23&lt;Inputs!$B$9,0,F$4*Inputs!$B$23*MIN(1,($A23-Inputs!$B$9+1)/(Inputs!$B$10-Inputs!$B$9+1)))*Inputs!$B$4*$A$8-$B23</f>
        <v>-4881380.95238095</v>
      </c>
    </row>
    <row r="24" customFormat="false" ht="15" hidden="false" customHeight="true" outlineLevel="0" collapsed="false">
      <c r="A24" s="14" t="n">
        <v>12</v>
      </c>
      <c r="B24" s="43" t="n">
        <f aca="false">Cashflow!B16</f>
        <v>340333.333333333</v>
      </c>
      <c r="C24" s="40" t="n">
        <f aca="false">C23+IF($A24&lt;Inputs!$B$9,0,B$4*Inputs!$B$23*MIN(1,($A24-Inputs!$B$9+1)/(Inputs!$B$10-Inputs!$B$9+1)))*Inputs!$B$4*$A$5-$B24</f>
        <v>-7206204.08163265</v>
      </c>
      <c r="D24" s="40" t="n">
        <f aca="false">D23+IF($A24&lt;Inputs!$B$9,0,C$4*Inputs!$B$23*MIN(1,($A24-Inputs!$B$9+1)/(Inputs!$B$10-Inputs!$B$9+1)))*Inputs!$B$4*$A$5-$B24</f>
        <v>-6908530.6122449</v>
      </c>
      <c r="E24" s="40" t="n">
        <f aca="false">E23+IF($A24&lt;Inputs!$B$9,0,D$4*Inputs!$B$23*MIN(1,($A24-Inputs!$B$9+1)/(Inputs!$B$10-Inputs!$B$9+1)))*Inputs!$B$4*$A$5-$B24</f>
        <v>-6610857.14285714</v>
      </c>
      <c r="F24" s="40" t="n">
        <f aca="false">F23+IF($A24&lt;Inputs!$B$9,0,E$4*Inputs!$B$23*MIN(1,($A24-Inputs!$B$9+1)/(Inputs!$B$10-Inputs!$B$9+1)))*Inputs!$B$4*$A$5-$B24</f>
        <v>-6313183.67346939</v>
      </c>
      <c r="G24" s="40" t="n">
        <f aca="false">G23+IF($A24&lt;Inputs!$B$9,0,F$4*Inputs!$B$23*MIN(1,($A24-Inputs!$B$9+1)/(Inputs!$B$10-Inputs!$B$9+1)))*Inputs!$B$4*$A$5-$B24</f>
        <v>-6015510.20408163</v>
      </c>
      <c r="H24" s="40" t="n">
        <f aca="false">H23+IF($A24&lt;Inputs!$B$9,0,B$4*Inputs!$B$23*MIN(1,($A24-Inputs!$B$9+1)/(Inputs!$B$10-Inputs!$B$9+1)))*Inputs!$B$4*$A$6-$B24</f>
        <v>-7007755.10204081</v>
      </c>
      <c r="I24" s="40" t="n">
        <f aca="false">I23+IF($A24&lt;Inputs!$B$9,0,C$4*Inputs!$B$23*MIN(1,($A24-Inputs!$B$9+1)/(Inputs!$B$10-Inputs!$B$9+1)))*Inputs!$B$4*$A$6-$B24</f>
        <v>-6635663.26530612</v>
      </c>
      <c r="J24" s="40" t="n">
        <f aca="false">J23+IF($A24&lt;Inputs!$B$9,0,D$4*Inputs!$B$23*MIN(1,($A24-Inputs!$B$9+1)/(Inputs!$B$10-Inputs!$B$9+1)))*Inputs!$B$4*$A$6-$B24</f>
        <v>-6263571.42857143</v>
      </c>
      <c r="K24" s="40" t="n">
        <f aca="false">K23+IF($A24&lt;Inputs!$B$9,0,E$4*Inputs!$B$23*MIN(1,($A24-Inputs!$B$9+1)/(Inputs!$B$10-Inputs!$B$9+1)))*Inputs!$B$4*$A$6-$B24</f>
        <v>-5891479.59183673</v>
      </c>
      <c r="L24" s="40" t="n">
        <f aca="false">L23+IF($A24&lt;Inputs!$B$9,0,F$4*Inputs!$B$23*MIN(1,($A24-Inputs!$B$9+1)/(Inputs!$B$10-Inputs!$B$9+1)))*Inputs!$B$4*$A$6-$B24</f>
        <v>-5519387.75510204</v>
      </c>
      <c r="M24" s="40" t="n">
        <f aca="false">M23+IF($A24&lt;Inputs!$B$9,0,B$4*Inputs!$B$23*MIN(1,($A24-Inputs!$B$9+1)/(Inputs!$B$10-Inputs!$B$9+1)))*Inputs!$B$4*$A$7-$B24</f>
        <v>-6809306.12244898</v>
      </c>
      <c r="N24" s="40" t="n">
        <f aca="false">N23+IF($A24&lt;Inputs!$B$9,0,C$4*Inputs!$B$23*MIN(1,($A24-Inputs!$B$9+1)/(Inputs!$B$10-Inputs!$B$9+1)))*Inputs!$B$4*$A$7-$B24</f>
        <v>-6362795.91836734</v>
      </c>
      <c r="O24" s="40" t="n">
        <f aca="false">O23+IF($A24&lt;Inputs!$B$9,0,D$4*Inputs!$B$23*MIN(1,($A24-Inputs!$B$9+1)/(Inputs!$B$10-Inputs!$B$9+1)))*Inputs!$B$4*$A$7-$B24</f>
        <v>-5916285.71428571</v>
      </c>
      <c r="P24" s="40" t="n">
        <f aca="false">P23+IF($A24&lt;Inputs!$B$9,0,E$4*Inputs!$B$23*MIN(1,($A24-Inputs!$B$9+1)/(Inputs!$B$10-Inputs!$B$9+1)))*Inputs!$B$4*$A$7-$B24</f>
        <v>-5469775.51020408</v>
      </c>
      <c r="Q24" s="40" t="n">
        <f aca="false">Q23+IF($A24&lt;Inputs!$B$9,0,F$4*Inputs!$B$23*MIN(1,($A24-Inputs!$B$9+1)/(Inputs!$B$10-Inputs!$B$9+1)))*Inputs!$B$4*$A$7-$B24</f>
        <v>-5023265.30612245</v>
      </c>
      <c r="R24" s="40" t="n">
        <f aca="false">R23+IF($A24&lt;Inputs!$B$9,0,B$4*Inputs!$B$23*MIN(1,($A24-Inputs!$B$9+1)/(Inputs!$B$10-Inputs!$B$9+1)))*Inputs!$B$4*$A$8-$B24</f>
        <v>-6610857.14285714</v>
      </c>
      <c r="S24" s="40" t="n">
        <f aca="false">S23+IF($A24&lt;Inputs!$B$9,0,C$4*Inputs!$B$23*MIN(1,($A24-Inputs!$B$9+1)/(Inputs!$B$10-Inputs!$B$9+1)))*Inputs!$B$4*$A$8-$B24</f>
        <v>-6089928.57142857</v>
      </c>
      <c r="T24" s="40" t="n">
        <f aca="false">T23+IF($A24&lt;Inputs!$B$9,0,D$4*Inputs!$B$23*MIN(1,($A24-Inputs!$B$9+1)/(Inputs!$B$10-Inputs!$B$9+1)))*Inputs!$B$4*$A$8-$B24</f>
        <v>-5569000</v>
      </c>
      <c r="U24" s="40" t="n">
        <f aca="false">U23+IF($A24&lt;Inputs!$B$9,0,E$4*Inputs!$B$23*MIN(1,($A24-Inputs!$B$9+1)/(Inputs!$B$10-Inputs!$B$9+1)))*Inputs!$B$4*$A$8-$B24</f>
        <v>-5048071.42857143</v>
      </c>
      <c r="V24" s="40" t="n">
        <f aca="false">V23+IF($A24&lt;Inputs!$B$9,0,F$4*Inputs!$B$23*MIN(1,($A24-Inputs!$B$9+1)/(Inputs!$B$10-Inputs!$B$9+1)))*Inputs!$B$4*$A$8-$B24</f>
        <v>-4527142.85714285</v>
      </c>
    </row>
    <row r="25" customFormat="false" ht="15" hidden="false" customHeight="true" outlineLevel="0" collapsed="false">
      <c r="A25" s="14" t="n">
        <v>13</v>
      </c>
      <c r="B25" s="43" t="n">
        <f aca="false">Cashflow!B17</f>
        <v>395000</v>
      </c>
      <c r="C25" s="40" t="n">
        <f aca="false">C24+IF($A25&lt;Inputs!$B$9,0,B$4*Inputs!$B$23*MIN(1,($A25-Inputs!$B$9+1)/(Inputs!$B$10-Inputs!$B$9+1)))*Inputs!$B$4*$A$5-$B25</f>
        <v>-7424804.98866213</v>
      </c>
      <c r="D25" s="40" t="n">
        <f aca="false">D24+IF($A25&lt;Inputs!$B$9,0,C$4*Inputs!$B$23*MIN(1,($A25-Inputs!$B$9+1)/(Inputs!$B$10-Inputs!$B$9+1)))*Inputs!$B$4*$A$5-$B25</f>
        <v>-7060981.85941043</v>
      </c>
      <c r="E25" s="40" t="n">
        <f aca="false">E24+IF($A25&lt;Inputs!$B$9,0,D$4*Inputs!$B$23*MIN(1,($A25-Inputs!$B$9+1)/(Inputs!$B$10-Inputs!$B$9+1)))*Inputs!$B$4*$A$5-$B25</f>
        <v>-6697158.73015873</v>
      </c>
      <c r="F25" s="40" t="n">
        <f aca="false">F24+IF($A25&lt;Inputs!$B$9,0,E$4*Inputs!$B$23*MIN(1,($A25-Inputs!$B$9+1)/(Inputs!$B$10-Inputs!$B$9+1)))*Inputs!$B$4*$A$5-$B25</f>
        <v>-6333335.60090703</v>
      </c>
      <c r="G25" s="40" t="n">
        <f aca="false">G24+IF($A25&lt;Inputs!$B$9,0,F$4*Inputs!$B$23*MIN(1,($A25-Inputs!$B$9+1)/(Inputs!$B$10-Inputs!$B$9+1)))*Inputs!$B$4*$A$5-$B25</f>
        <v>-5969512.47165533</v>
      </c>
      <c r="H25" s="40" t="n">
        <f aca="false">H24+IF($A25&lt;Inputs!$B$9,0,B$4*Inputs!$B$23*MIN(1,($A25-Inputs!$B$9+1)/(Inputs!$B$10-Inputs!$B$9+1)))*Inputs!$B$4*$A$6-$B25</f>
        <v>-7182256.23582766</v>
      </c>
      <c r="I25" s="40" t="n">
        <f aca="false">I24+IF($A25&lt;Inputs!$B$9,0,C$4*Inputs!$B$23*MIN(1,($A25-Inputs!$B$9+1)/(Inputs!$B$10-Inputs!$B$9+1)))*Inputs!$B$4*$A$6-$B25</f>
        <v>-6727477.32426304</v>
      </c>
      <c r="J25" s="40" t="n">
        <f aca="false">J24+IF($A25&lt;Inputs!$B$9,0,D$4*Inputs!$B$23*MIN(1,($A25-Inputs!$B$9+1)/(Inputs!$B$10-Inputs!$B$9+1)))*Inputs!$B$4*$A$6-$B25</f>
        <v>-6272698.41269841</v>
      </c>
      <c r="K25" s="40" t="n">
        <f aca="false">K24+IF($A25&lt;Inputs!$B$9,0,E$4*Inputs!$B$23*MIN(1,($A25-Inputs!$B$9+1)/(Inputs!$B$10-Inputs!$B$9+1)))*Inputs!$B$4*$A$6-$B25</f>
        <v>-5817919.50113378</v>
      </c>
      <c r="L25" s="40" t="n">
        <f aca="false">L24+IF($A25&lt;Inputs!$B$9,0,F$4*Inputs!$B$23*MIN(1,($A25-Inputs!$B$9+1)/(Inputs!$B$10-Inputs!$B$9+1)))*Inputs!$B$4*$A$6-$B25</f>
        <v>-5363140.58956916</v>
      </c>
      <c r="M25" s="40" t="n">
        <f aca="false">M24+IF($A25&lt;Inputs!$B$9,0,B$4*Inputs!$B$23*MIN(1,($A25-Inputs!$B$9+1)/(Inputs!$B$10-Inputs!$B$9+1)))*Inputs!$B$4*$A$7-$B25</f>
        <v>-6939707.4829932</v>
      </c>
      <c r="N25" s="40" t="n">
        <f aca="false">N24+IF($A25&lt;Inputs!$B$9,0,C$4*Inputs!$B$23*MIN(1,($A25-Inputs!$B$9+1)/(Inputs!$B$10-Inputs!$B$9+1)))*Inputs!$B$4*$A$7-$B25</f>
        <v>-6393972.78911564</v>
      </c>
      <c r="O25" s="40" t="n">
        <f aca="false">O24+IF($A25&lt;Inputs!$B$9,0,D$4*Inputs!$B$23*MIN(1,($A25-Inputs!$B$9+1)/(Inputs!$B$10-Inputs!$B$9+1)))*Inputs!$B$4*$A$7-$B25</f>
        <v>-5848238.09523809</v>
      </c>
      <c r="P25" s="40" t="n">
        <f aca="false">P24+IF($A25&lt;Inputs!$B$9,0,E$4*Inputs!$B$23*MIN(1,($A25-Inputs!$B$9+1)/(Inputs!$B$10-Inputs!$B$9+1)))*Inputs!$B$4*$A$7-$B25</f>
        <v>-5302503.40136054</v>
      </c>
      <c r="Q25" s="40" t="n">
        <f aca="false">Q24+IF($A25&lt;Inputs!$B$9,0,F$4*Inputs!$B$23*MIN(1,($A25-Inputs!$B$9+1)/(Inputs!$B$10-Inputs!$B$9+1)))*Inputs!$B$4*$A$7-$B25</f>
        <v>-4756768.70748299</v>
      </c>
      <c r="R25" s="40" t="n">
        <f aca="false">R24+IF($A25&lt;Inputs!$B$9,0,B$4*Inputs!$B$23*MIN(1,($A25-Inputs!$B$9+1)/(Inputs!$B$10-Inputs!$B$9+1)))*Inputs!$B$4*$A$8-$B25</f>
        <v>-6697158.73015873</v>
      </c>
      <c r="S25" s="40" t="n">
        <f aca="false">S24+IF($A25&lt;Inputs!$B$9,0,C$4*Inputs!$B$23*MIN(1,($A25-Inputs!$B$9+1)/(Inputs!$B$10-Inputs!$B$9+1)))*Inputs!$B$4*$A$8-$B25</f>
        <v>-6060468.25396825</v>
      </c>
      <c r="T25" s="40" t="n">
        <f aca="false">T24+IF($A25&lt;Inputs!$B$9,0,D$4*Inputs!$B$23*MIN(1,($A25-Inputs!$B$9+1)/(Inputs!$B$10-Inputs!$B$9+1)))*Inputs!$B$4*$A$8-$B25</f>
        <v>-5423777.77777778</v>
      </c>
      <c r="U25" s="40" t="n">
        <f aca="false">U24+IF($A25&lt;Inputs!$B$9,0,E$4*Inputs!$B$23*MIN(1,($A25-Inputs!$B$9+1)/(Inputs!$B$10-Inputs!$B$9+1)))*Inputs!$B$4*$A$8-$B25</f>
        <v>-4787087.3015873</v>
      </c>
      <c r="V25" s="40" t="n">
        <f aca="false">V24+IF($A25&lt;Inputs!$B$9,0,F$4*Inputs!$B$23*MIN(1,($A25-Inputs!$B$9+1)/(Inputs!$B$10-Inputs!$B$9+1)))*Inputs!$B$4*$A$8-$B25</f>
        <v>-4150396.82539682</v>
      </c>
    </row>
    <row r="26" customFormat="false" ht="15" hidden="false" customHeight="true" outlineLevel="0" collapsed="false">
      <c r="A26" s="14" t="n">
        <v>14</v>
      </c>
      <c r="B26" s="43" t="n">
        <f aca="false">Cashflow!B18</f>
        <v>395000</v>
      </c>
      <c r="C26" s="40" t="n">
        <f aca="false">C25+IF($A26&lt;Inputs!$B$9,0,B$4*Inputs!$B$23*MIN(1,($A26-Inputs!$B$9+1)/(Inputs!$B$10-Inputs!$B$9+1)))*Inputs!$B$4*$A$5-$B26</f>
        <v>-7625765.98639456</v>
      </c>
      <c r="D26" s="40" t="n">
        <f aca="false">D25+IF($A26&lt;Inputs!$B$9,0,C$4*Inputs!$B$23*MIN(1,($A26-Inputs!$B$9+1)/(Inputs!$B$10-Inputs!$B$9+1)))*Inputs!$B$4*$A$5-$B26</f>
        <v>-7189178.23129251</v>
      </c>
      <c r="E26" s="40" t="n">
        <f aca="false">E25+IF($A26&lt;Inputs!$B$9,0,D$4*Inputs!$B$23*MIN(1,($A26-Inputs!$B$9+1)/(Inputs!$B$10-Inputs!$B$9+1)))*Inputs!$B$4*$A$5-$B26</f>
        <v>-6752590.47619047</v>
      </c>
      <c r="F26" s="40" t="n">
        <f aca="false">F25+IF($A26&lt;Inputs!$B$9,0,E$4*Inputs!$B$23*MIN(1,($A26-Inputs!$B$9+1)/(Inputs!$B$10-Inputs!$B$9+1)))*Inputs!$B$4*$A$5-$B26</f>
        <v>-6316002.72108843</v>
      </c>
      <c r="G26" s="40" t="n">
        <f aca="false">G25+IF($A26&lt;Inputs!$B$9,0,F$4*Inputs!$B$23*MIN(1,($A26-Inputs!$B$9+1)/(Inputs!$B$10-Inputs!$B$9+1)))*Inputs!$B$4*$A$5-$B26</f>
        <v>-5879414.96598639</v>
      </c>
      <c r="H26" s="40" t="n">
        <f aca="false">H25+IF($A26&lt;Inputs!$B$9,0,B$4*Inputs!$B$23*MIN(1,($A26-Inputs!$B$9+1)/(Inputs!$B$10-Inputs!$B$9+1)))*Inputs!$B$4*$A$6-$B26</f>
        <v>-7334707.48299319</v>
      </c>
      <c r="I26" s="40" t="n">
        <f aca="false">I25+IF($A26&lt;Inputs!$B$9,0,C$4*Inputs!$B$23*MIN(1,($A26-Inputs!$B$9+1)/(Inputs!$B$10-Inputs!$B$9+1)))*Inputs!$B$4*$A$6-$B26</f>
        <v>-6788972.78911564</v>
      </c>
      <c r="J26" s="40" t="n">
        <f aca="false">J25+IF($A26&lt;Inputs!$B$9,0,D$4*Inputs!$B$23*MIN(1,($A26-Inputs!$B$9+1)/(Inputs!$B$10-Inputs!$B$9+1)))*Inputs!$B$4*$A$6-$B26</f>
        <v>-6243238.09523809</v>
      </c>
      <c r="K26" s="40" t="n">
        <f aca="false">K25+IF($A26&lt;Inputs!$B$9,0,E$4*Inputs!$B$23*MIN(1,($A26-Inputs!$B$9+1)/(Inputs!$B$10-Inputs!$B$9+1)))*Inputs!$B$4*$A$6-$B26</f>
        <v>-5697503.40136054</v>
      </c>
      <c r="L26" s="40" t="n">
        <f aca="false">L25+IF($A26&lt;Inputs!$B$9,0,F$4*Inputs!$B$23*MIN(1,($A26-Inputs!$B$9+1)/(Inputs!$B$10-Inputs!$B$9+1)))*Inputs!$B$4*$A$6-$B26</f>
        <v>-5151768.70748299</v>
      </c>
      <c r="M26" s="40" t="n">
        <f aca="false">M25+IF($A26&lt;Inputs!$B$9,0,B$4*Inputs!$B$23*MIN(1,($A26-Inputs!$B$9+1)/(Inputs!$B$10-Inputs!$B$9+1)))*Inputs!$B$4*$A$7-$B26</f>
        <v>-7043648.97959183</v>
      </c>
      <c r="N26" s="40" t="n">
        <f aca="false">N25+IF($A26&lt;Inputs!$B$9,0,C$4*Inputs!$B$23*MIN(1,($A26-Inputs!$B$9+1)/(Inputs!$B$10-Inputs!$B$9+1)))*Inputs!$B$4*$A$7-$B26</f>
        <v>-6388767.34693877</v>
      </c>
      <c r="O26" s="40" t="n">
        <f aca="false">O25+IF($A26&lt;Inputs!$B$9,0,D$4*Inputs!$B$23*MIN(1,($A26-Inputs!$B$9+1)/(Inputs!$B$10-Inputs!$B$9+1)))*Inputs!$B$4*$A$7-$B26</f>
        <v>-5733885.71428571</v>
      </c>
      <c r="P26" s="40" t="n">
        <f aca="false">P25+IF($A26&lt;Inputs!$B$9,0,E$4*Inputs!$B$23*MIN(1,($A26-Inputs!$B$9+1)/(Inputs!$B$10-Inputs!$B$9+1)))*Inputs!$B$4*$A$7-$B26</f>
        <v>-5079004.08163265</v>
      </c>
      <c r="Q26" s="40" t="n">
        <f aca="false">Q25+IF($A26&lt;Inputs!$B$9,0,F$4*Inputs!$B$23*MIN(1,($A26-Inputs!$B$9+1)/(Inputs!$B$10-Inputs!$B$9+1)))*Inputs!$B$4*$A$7-$B26</f>
        <v>-4424122.44897959</v>
      </c>
      <c r="R26" s="40" t="n">
        <f aca="false">R25+IF($A26&lt;Inputs!$B$9,0,B$4*Inputs!$B$23*MIN(1,($A26-Inputs!$B$9+1)/(Inputs!$B$10-Inputs!$B$9+1)))*Inputs!$B$4*$A$8-$B26</f>
        <v>-6752590.47619047</v>
      </c>
      <c r="S26" s="40" t="n">
        <f aca="false">S25+IF($A26&lt;Inputs!$B$9,0,C$4*Inputs!$B$23*MIN(1,($A26-Inputs!$B$9+1)/(Inputs!$B$10-Inputs!$B$9+1)))*Inputs!$B$4*$A$8-$B26</f>
        <v>-5988561.9047619</v>
      </c>
      <c r="T26" s="40" t="n">
        <f aca="false">T25+IF($A26&lt;Inputs!$B$9,0,D$4*Inputs!$B$23*MIN(1,($A26-Inputs!$B$9+1)/(Inputs!$B$10-Inputs!$B$9+1)))*Inputs!$B$4*$A$8-$B26</f>
        <v>-5224533.33333333</v>
      </c>
      <c r="U26" s="40" t="n">
        <f aca="false">U25+IF($A26&lt;Inputs!$B$9,0,E$4*Inputs!$B$23*MIN(1,($A26-Inputs!$B$9+1)/(Inputs!$B$10-Inputs!$B$9+1)))*Inputs!$B$4*$A$8-$B26</f>
        <v>-4460504.76190476</v>
      </c>
      <c r="V26" s="40" t="n">
        <f aca="false">V25+IF($A26&lt;Inputs!$B$9,0,F$4*Inputs!$B$23*MIN(1,($A26-Inputs!$B$9+1)/(Inputs!$B$10-Inputs!$B$9+1)))*Inputs!$B$4*$A$8-$B26</f>
        <v>-3696476.19047619</v>
      </c>
    </row>
    <row r="27" customFormat="false" ht="15" hidden="false" customHeight="true" outlineLevel="0" collapsed="false">
      <c r="A27" s="14" t="n">
        <v>15</v>
      </c>
      <c r="B27" s="43" t="n">
        <f aca="false">Cashflow!B19</f>
        <v>395000</v>
      </c>
      <c r="C27" s="40" t="n">
        <f aca="false">C26+IF($A27&lt;Inputs!$B$9,0,B$4*Inputs!$B$23*MIN(1,($A27-Inputs!$B$9+1)/(Inputs!$B$10-Inputs!$B$9+1)))*Inputs!$B$4*$A$5-$B27</f>
        <v>-7809087.07482993</v>
      </c>
      <c r="D27" s="40" t="n">
        <f aca="false">D26+IF($A27&lt;Inputs!$B$9,0,C$4*Inputs!$B$23*MIN(1,($A27-Inputs!$B$9+1)/(Inputs!$B$10-Inputs!$B$9+1)))*Inputs!$B$4*$A$5-$B27</f>
        <v>-7293119.72789115</v>
      </c>
      <c r="E27" s="40" t="n">
        <f aca="false">E26+IF($A27&lt;Inputs!$B$9,0,D$4*Inputs!$B$23*MIN(1,($A27-Inputs!$B$9+1)/(Inputs!$B$10-Inputs!$B$9+1)))*Inputs!$B$4*$A$5-$B27</f>
        <v>-6777152.38095238</v>
      </c>
      <c r="F27" s="40" t="n">
        <f aca="false">F26+IF($A27&lt;Inputs!$B$9,0,E$4*Inputs!$B$23*MIN(1,($A27-Inputs!$B$9+1)/(Inputs!$B$10-Inputs!$B$9+1)))*Inputs!$B$4*$A$5-$B27</f>
        <v>-6261185.0340136</v>
      </c>
      <c r="G27" s="40" t="n">
        <f aca="false">G26+IF($A27&lt;Inputs!$B$9,0,F$4*Inputs!$B$23*MIN(1,($A27-Inputs!$B$9+1)/(Inputs!$B$10-Inputs!$B$9+1)))*Inputs!$B$4*$A$5-$B27</f>
        <v>-5745217.68707483</v>
      </c>
      <c r="H27" s="40" t="n">
        <f aca="false">H26+IF($A27&lt;Inputs!$B$9,0,B$4*Inputs!$B$23*MIN(1,($A27-Inputs!$B$9+1)/(Inputs!$B$10-Inputs!$B$9+1)))*Inputs!$B$4*$A$6-$B27</f>
        <v>-7465108.84353741</v>
      </c>
      <c r="I27" s="40" t="n">
        <f aca="false">I26+IF($A27&lt;Inputs!$B$9,0,C$4*Inputs!$B$23*MIN(1,($A27-Inputs!$B$9+1)/(Inputs!$B$10-Inputs!$B$9+1)))*Inputs!$B$4*$A$6-$B27</f>
        <v>-6820149.65986394</v>
      </c>
      <c r="J27" s="40" t="n">
        <f aca="false">J26+IF($A27&lt;Inputs!$B$9,0,D$4*Inputs!$B$23*MIN(1,($A27-Inputs!$B$9+1)/(Inputs!$B$10-Inputs!$B$9+1)))*Inputs!$B$4*$A$6-$B27</f>
        <v>-6175190.47619047</v>
      </c>
      <c r="K27" s="40" t="n">
        <f aca="false">K26+IF($A27&lt;Inputs!$B$9,0,E$4*Inputs!$B$23*MIN(1,($A27-Inputs!$B$9+1)/(Inputs!$B$10-Inputs!$B$9+1)))*Inputs!$B$4*$A$6-$B27</f>
        <v>-5530231.29251701</v>
      </c>
      <c r="L27" s="40" t="n">
        <f aca="false">L26+IF($A27&lt;Inputs!$B$9,0,F$4*Inputs!$B$23*MIN(1,($A27-Inputs!$B$9+1)/(Inputs!$B$10-Inputs!$B$9+1)))*Inputs!$B$4*$A$6-$B27</f>
        <v>-4885272.10884354</v>
      </c>
      <c r="M27" s="40" t="n">
        <f aca="false">M26+IF($A27&lt;Inputs!$B$9,0,B$4*Inputs!$B$23*MIN(1,($A27-Inputs!$B$9+1)/(Inputs!$B$10-Inputs!$B$9+1)))*Inputs!$B$4*$A$7-$B27</f>
        <v>-7121130.6122449</v>
      </c>
      <c r="N27" s="40" t="n">
        <f aca="false">N26+IF($A27&lt;Inputs!$B$9,0,C$4*Inputs!$B$23*MIN(1,($A27-Inputs!$B$9+1)/(Inputs!$B$10-Inputs!$B$9+1)))*Inputs!$B$4*$A$7-$B27</f>
        <v>-6347179.59183673</v>
      </c>
      <c r="O27" s="40" t="n">
        <f aca="false">O26+IF($A27&lt;Inputs!$B$9,0,D$4*Inputs!$B$23*MIN(1,($A27-Inputs!$B$9+1)/(Inputs!$B$10-Inputs!$B$9+1)))*Inputs!$B$4*$A$7-$B27</f>
        <v>-5573228.57142857</v>
      </c>
      <c r="P27" s="40" t="n">
        <f aca="false">P26+IF($A27&lt;Inputs!$B$9,0,E$4*Inputs!$B$23*MIN(1,($A27-Inputs!$B$9+1)/(Inputs!$B$10-Inputs!$B$9+1)))*Inputs!$B$4*$A$7-$B27</f>
        <v>-4799277.55102041</v>
      </c>
      <c r="Q27" s="40" t="n">
        <f aca="false">Q26+IF($A27&lt;Inputs!$B$9,0,F$4*Inputs!$B$23*MIN(1,($A27-Inputs!$B$9+1)/(Inputs!$B$10-Inputs!$B$9+1)))*Inputs!$B$4*$A$7-$B27</f>
        <v>-4025326.53061224</v>
      </c>
      <c r="R27" s="40" t="n">
        <f aca="false">R26+IF($A27&lt;Inputs!$B$9,0,B$4*Inputs!$B$23*MIN(1,($A27-Inputs!$B$9+1)/(Inputs!$B$10-Inputs!$B$9+1)))*Inputs!$B$4*$A$8-$B27</f>
        <v>-6777152.38095238</v>
      </c>
      <c r="S27" s="40" t="n">
        <f aca="false">S26+IF($A27&lt;Inputs!$B$9,0,C$4*Inputs!$B$23*MIN(1,($A27-Inputs!$B$9+1)/(Inputs!$B$10-Inputs!$B$9+1)))*Inputs!$B$4*$A$8-$B27</f>
        <v>-5874209.52380952</v>
      </c>
      <c r="T27" s="40" t="n">
        <f aca="false">T26+IF($A27&lt;Inputs!$B$9,0,D$4*Inputs!$B$23*MIN(1,($A27-Inputs!$B$9+1)/(Inputs!$B$10-Inputs!$B$9+1)))*Inputs!$B$4*$A$8-$B27</f>
        <v>-4971266.66666667</v>
      </c>
      <c r="U27" s="40" t="n">
        <f aca="false">U26+IF($A27&lt;Inputs!$B$9,0,E$4*Inputs!$B$23*MIN(1,($A27-Inputs!$B$9+1)/(Inputs!$B$10-Inputs!$B$9+1)))*Inputs!$B$4*$A$8-$B27</f>
        <v>-4068323.80952381</v>
      </c>
      <c r="V27" s="40" t="n">
        <f aca="false">V26+IF($A27&lt;Inputs!$B$9,0,F$4*Inputs!$B$23*MIN(1,($A27-Inputs!$B$9+1)/(Inputs!$B$10-Inputs!$B$9+1)))*Inputs!$B$4*$A$8-$B27</f>
        <v>-3165380.95238095</v>
      </c>
    </row>
    <row r="28" customFormat="false" ht="15" hidden="false" customHeight="true" outlineLevel="0" collapsed="false">
      <c r="A28" s="14" t="n">
        <v>16</v>
      </c>
      <c r="B28" s="43" t="n">
        <f aca="false">Cashflow!B20</f>
        <v>395000</v>
      </c>
      <c r="C28" s="40" t="n">
        <f aca="false">C27+IF($A28&lt;Inputs!$B$9,0,B$4*Inputs!$B$23*MIN(1,($A28-Inputs!$B$9+1)/(Inputs!$B$10-Inputs!$B$9+1)))*Inputs!$B$4*$A$5-$B28</f>
        <v>-7974768.25396825</v>
      </c>
      <c r="D28" s="40" t="n">
        <f aca="false">D27+IF($A28&lt;Inputs!$B$9,0,C$4*Inputs!$B$23*MIN(1,($A28-Inputs!$B$9+1)/(Inputs!$B$10-Inputs!$B$9+1)))*Inputs!$B$4*$A$5-$B28</f>
        <v>-7372806.34920635</v>
      </c>
      <c r="E28" s="40" t="n">
        <f aca="false">E27+IF($A28&lt;Inputs!$B$9,0,D$4*Inputs!$B$23*MIN(1,($A28-Inputs!$B$9+1)/(Inputs!$B$10-Inputs!$B$9+1)))*Inputs!$B$4*$A$5-$B28</f>
        <v>-6770844.44444444</v>
      </c>
      <c r="F28" s="40" t="n">
        <f aca="false">F27+IF($A28&lt;Inputs!$B$9,0,E$4*Inputs!$B$23*MIN(1,($A28-Inputs!$B$9+1)/(Inputs!$B$10-Inputs!$B$9+1)))*Inputs!$B$4*$A$5-$B28</f>
        <v>-6168882.53968254</v>
      </c>
      <c r="G28" s="40" t="n">
        <f aca="false">G27+IF($A28&lt;Inputs!$B$9,0,F$4*Inputs!$B$23*MIN(1,($A28-Inputs!$B$9+1)/(Inputs!$B$10-Inputs!$B$9+1)))*Inputs!$B$4*$A$5-$B28</f>
        <v>-5566920.63492063</v>
      </c>
      <c r="H28" s="40" t="n">
        <f aca="false">H27+IF($A28&lt;Inputs!$B$9,0,B$4*Inputs!$B$23*MIN(1,($A28-Inputs!$B$9+1)/(Inputs!$B$10-Inputs!$B$9+1)))*Inputs!$B$4*$A$6-$B28</f>
        <v>-7573460.31746031</v>
      </c>
      <c r="I28" s="40" t="n">
        <f aca="false">I27+IF($A28&lt;Inputs!$B$9,0,C$4*Inputs!$B$23*MIN(1,($A28-Inputs!$B$9+1)/(Inputs!$B$10-Inputs!$B$9+1)))*Inputs!$B$4*$A$6-$B28</f>
        <v>-6821007.93650793</v>
      </c>
      <c r="J28" s="40" t="n">
        <f aca="false">J27+IF($A28&lt;Inputs!$B$9,0,D$4*Inputs!$B$23*MIN(1,($A28-Inputs!$B$9+1)/(Inputs!$B$10-Inputs!$B$9+1)))*Inputs!$B$4*$A$6-$B28</f>
        <v>-6068555.55555555</v>
      </c>
      <c r="K28" s="40" t="n">
        <f aca="false">K27+IF($A28&lt;Inputs!$B$9,0,E$4*Inputs!$B$23*MIN(1,($A28-Inputs!$B$9+1)/(Inputs!$B$10-Inputs!$B$9+1)))*Inputs!$B$4*$A$6-$B28</f>
        <v>-5316103.17460317</v>
      </c>
      <c r="L28" s="40" t="n">
        <f aca="false">L27+IF($A28&lt;Inputs!$B$9,0,F$4*Inputs!$B$23*MIN(1,($A28-Inputs!$B$9+1)/(Inputs!$B$10-Inputs!$B$9+1)))*Inputs!$B$4*$A$6-$B28</f>
        <v>-4563650.79365079</v>
      </c>
      <c r="M28" s="40" t="n">
        <f aca="false">M27+IF($A28&lt;Inputs!$B$9,0,B$4*Inputs!$B$23*MIN(1,($A28-Inputs!$B$9+1)/(Inputs!$B$10-Inputs!$B$9+1)))*Inputs!$B$4*$A$7-$B28</f>
        <v>-7172152.38095238</v>
      </c>
      <c r="N28" s="40" t="n">
        <f aca="false">N27+IF($A28&lt;Inputs!$B$9,0,C$4*Inputs!$B$23*MIN(1,($A28-Inputs!$B$9+1)/(Inputs!$B$10-Inputs!$B$9+1)))*Inputs!$B$4*$A$7-$B28</f>
        <v>-6269209.52380952</v>
      </c>
      <c r="O28" s="40" t="n">
        <f aca="false">O27+IF($A28&lt;Inputs!$B$9,0,D$4*Inputs!$B$23*MIN(1,($A28-Inputs!$B$9+1)/(Inputs!$B$10-Inputs!$B$9+1)))*Inputs!$B$4*$A$7-$B28</f>
        <v>-5366266.66666666</v>
      </c>
      <c r="P28" s="40" t="n">
        <f aca="false">P27+IF($A28&lt;Inputs!$B$9,0,E$4*Inputs!$B$23*MIN(1,($A28-Inputs!$B$9+1)/(Inputs!$B$10-Inputs!$B$9+1)))*Inputs!$B$4*$A$7-$B28</f>
        <v>-4463323.80952381</v>
      </c>
      <c r="Q28" s="40" t="n">
        <f aca="false">Q27+IF($A28&lt;Inputs!$B$9,0,F$4*Inputs!$B$23*MIN(1,($A28-Inputs!$B$9+1)/(Inputs!$B$10-Inputs!$B$9+1)))*Inputs!$B$4*$A$7-$B28</f>
        <v>-3560380.95238095</v>
      </c>
      <c r="R28" s="40" t="n">
        <f aca="false">R27+IF($A28&lt;Inputs!$B$9,0,B$4*Inputs!$B$23*MIN(1,($A28-Inputs!$B$9+1)/(Inputs!$B$10-Inputs!$B$9+1)))*Inputs!$B$4*$A$8-$B28</f>
        <v>-6770844.44444444</v>
      </c>
      <c r="S28" s="40" t="n">
        <f aca="false">S27+IF($A28&lt;Inputs!$B$9,0,C$4*Inputs!$B$23*MIN(1,($A28-Inputs!$B$9+1)/(Inputs!$B$10-Inputs!$B$9+1)))*Inputs!$B$4*$A$8-$B28</f>
        <v>-5717411.11111111</v>
      </c>
      <c r="T28" s="40" t="n">
        <f aca="false">T27+IF($A28&lt;Inputs!$B$9,0,D$4*Inputs!$B$23*MIN(1,($A28-Inputs!$B$9+1)/(Inputs!$B$10-Inputs!$B$9+1)))*Inputs!$B$4*$A$8-$B28</f>
        <v>-4663977.77777778</v>
      </c>
      <c r="U28" s="40" t="n">
        <f aca="false">U27+IF($A28&lt;Inputs!$B$9,0,E$4*Inputs!$B$23*MIN(1,($A28-Inputs!$B$9+1)/(Inputs!$B$10-Inputs!$B$9+1)))*Inputs!$B$4*$A$8-$B28</f>
        <v>-3610544.44444444</v>
      </c>
      <c r="V28" s="40" t="n">
        <f aca="false">V27+IF($A28&lt;Inputs!$B$9,0,F$4*Inputs!$B$23*MIN(1,($A28-Inputs!$B$9+1)/(Inputs!$B$10-Inputs!$B$9+1)))*Inputs!$B$4*$A$8-$B28</f>
        <v>-2557111.11111111</v>
      </c>
    </row>
    <row r="29" customFormat="false" ht="15" hidden="false" customHeight="true" outlineLevel="0" collapsed="false">
      <c r="A29" s="14" t="n">
        <v>17</v>
      </c>
      <c r="B29" s="43" t="n">
        <f aca="false">Cashflow!B21</f>
        <v>395000</v>
      </c>
      <c r="C29" s="40" t="n">
        <f aca="false">C28+IF($A29&lt;Inputs!$B$9,0,B$4*Inputs!$B$23*MIN(1,($A29-Inputs!$B$9+1)/(Inputs!$B$10-Inputs!$B$9+1)))*Inputs!$B$4*$A$5-$B29</f>
        <v>-8122809.52380952</v>
      </c>
      <c r="D29" s="40" t="n">
        <f aca="false">D28+IF($A29&lt;Inputs!$B$9,0,C$4*Inputs!$B$23*MIN(1,($A29-Inputs!$B$9+1)/(Inputs!$B$10-Inputs!$B$9+1)))*Inputs!$B$4*$A$5-$B29</f>
        <v>-7428238.09523809</v>
      </c>
      <c r="E29" s="40" t="n">
        <f aca="false">E28+IF($A29&lt;Inputs!$B$9,0,D$4*Inputs!$B$23*MIN(1,($A29-Inputs!$B$9+1)/(Inputs!$B$10-Inputs!$B$9+1)))*Inputs!$B$4*$A$5-$B29</f>
        <v>-6733666.66666666</v>
      </c>
      <c r="F29" s="40" t="n">
        <f aca="false">F28+IF($A29&lt;Inputs!$B$9,0,E$4*Inputs!$B$23*MIN(1,($A29-Inputs!$B$9+1)/(Inputs!$B$10-Inputs!$B$9+1)))*Inputs!$B$4*$A$5-$B29</f>
        <v>-6039095.23809524</v>
      </c>
      <c r="G29" s="40" t="n">
        <f aca="false">G28+IF($A29&lt;Inputs!$B$9,0,F$4*Inputs!$B$23*MIN(1,($A29-Inputs!$B$9+1)/(Inputs!$B$10-Inputs!$B$9+1)))*Inputs!$B$4*$A$5-$B29</f>
        <v>-5344523.80952381</v>
      </c>
      <c r="H29" s="40" t="n">
        <f aca="false">H28+IF($A29&lt;Inputs!$B$9,0,B$4*Inputs!$B$23*MIN(1,($A29-Inputs!$B$9+1)/(Inputs!$B$10-Inputs!$B$9+1)))*Inputs!$B$4*$A$6-$B29</f>
        <v>-7659761.9047619</v>
      </c>
      <c r="I29" s="40" t="n">
        <f aca="false">I28+IF($A29&lt;Inputs!$B$9,0,C$4*Inputs!$B$23*MIN(1,($A29-Inputs!$B$9+1)/(Inputs!$B$10-Inputs!$B$9+1)))*Inputs!$B$4*$A$6-$B29</f>
        <v>-6791547.61904762</v>
      </c>
      <c r="J29" s="40" t="n">
        <f aca="false">J28+IF($A29&lt;Inputs!$B$9,0,D$4*Inputs!$B$23*MIN(1,($A29-Inputs!$B$9+1)/(Inputs!$B$10-Inputs!$B$9+1)))*Inputs!$B$4*$A$6-$B29</f>
        <v>-5923333.33333333</v>
      </c>
      <c r="K29" s="40" t="n">
        <f aca="false">K28+IF($A29&lt;Inputs!$B$9,0,E$4*Inputs!$B$23*MIN(1,($A29-Inputs!$B$9+1)/(Inputs!$B$10-Inputs!$B$9+1)))*Inputs!$B$4*$A$6-$B29</f>
        <v>-5055119.04761905</v>
      </c>
      <c r="L29" s="40" t="n">
        <f aca="false">L28+IF($A29&lt;Inputs!$B$9,0,F$4*Inputs!$B$23*MIN(1,($A29-Inputs!$B$9+1)/(Inputs!$B$10-Inputs!$B$9+1)))*Inputs!$B$4*$A$6-$B29</f>
        <v>-4186904.76190476</v>
      </c>
      <c r="M29" s="40" t="n">
        <f aca="false">M28+IF($A29&lt;Inputs!$B$9,0,B$4*Inputs!$B$23*MIN(1,($A29-Inputs!$B$9+1)/(Inputs!$B$10-Inputs!$B$9+1)))*Inputs!$B$4*$A$7-$B29</f>
        <v>-7196714.28571428</v>
      </c>
      <c r="N29" s="40" t="n">
        <f aca="false">N28+IF($A29&lt;Inputs!$B$9,0,C$4*Inputs!$B$23*MIN(1,($A29-Inputs!$B$9+1)/(Inputs!$B$10-Inputs!$B$9+1)))*Inputs!$B$4*$A$7-$B29</f>
        <v>-6154857.14285714</v>
      </c>
      <c r="O29" s="40" t="n">
        <f aca="false">O28+IF($A29&lt;Inputs!$B$9,0,D$4*Inputs!$B$23*MIN(1,($A29-Inputs!$B$9+1)/(Inputs!$B$10-Inputs!$B$9+1)))*Inputs!$B$4*$A$7-$B29</f>
        <v>-5113000</v>
      </c>
      <c r="P29" s="40" t="n">
        <f aca="false">P28+IF($A29&lt;Inputs!$B$9,0,E$4*Inputs!$B$23*MIN(1,($A29-Inputs!$B$9+1)/(Inputs!$B$10-Inputs!$B$9+1)))*Inputs!$B$4*$A$7-$B29</f>
        <v>-4071142.85714285</v>
      </c>
      <c r="Q29" s="40" t="n">
        <f aca="false">Q28+IF($A29&lt;Inputs!$B$9,0,F$4*Inputs!$B$23*MIN(1,($A29-Inputs!$B$9+1)/(Inputs!$B$10-Inputs!$B$9+1)))*Inputs!$B$4*$A$7-$B29</f>
        <v>-3029285.71428571</v>
      </c>
      <c r="R29" s="40" t="n">
        <f aca="false">R28+IF($A29&lt;Inputs!$B$9,0,B$4*Inputs!$B$23*MIN(1,($A29-Inputs!$B$9+1)/(Inputs!$B$10-Inputs!$B$9+1)))*Inputs!$B$4*$A$8-$B29</f>
        <v>-6733666.66666666</v>
      </c>
      <c r="S29" s="40" t="n">
        <f aca="false">S28+IF($A29&lt;Inputs!$B$9,0,C$4*Inputs!$B$23*MIN(1,($A29-Inputs!$B$9+1)/(Inputs!$B$10-Inputs!$B$9+1)))*Inputs!$B$4*$A$8-$B29</f>
        <v>-5518166.66666667</v>
      </c>
      <c r="T29" s="40" t="n">
        <f aca="false">T28+IF($A29&lt;Inputs!$B$9,0,D$4*Inputs!$B$23*MIN(1,($A29-Inputs!$B$9+1)/(Inputs!$B$10-Inputs!$B$9+1)))*Inputs!$B$4*$A$8-$B29</f>
        <v>-4302666.66666667</v>
      </c>
      <c r="U29" s="40" t="n">
        <f aca="false">U28+IF($A29&lt;Inputs!$B$9,0,E$4*Inputs!$B$23*MIN(1,($A29-Inputs!$B$9+1)/(Inputs!$B$10-Inputs!$B$9+1)))*Inputs!$B$4*$A$8-$B29</f>
        <v>-3087166.66666666</v>
      </c>
      <c r="V29" s="40" t="n">
        <f aca="false">V28+IF($A29&lt;Inputs!$B$9,0,F$4*Inputs!$B$23*MIN(1,($A29-Inputs!$B$9+1)/(Inputs!$B$10-Inputs!$B$9+1)))*Inputs!$B$4*$A$8-$B29</f>
        <v>-1871666.66666666</v>
      </c>
    </row>
    <row r="30" customFormat="false" ht="15" hidden="false" customHeight="true" outlineLevel="0" collapsed="false">
      <c r="A30" s="14" t="n">
        <v>18</v>
      </c>
      <c r="B30" s="43" t="n">
        <f aca="false">Cashflow!B22</f>
        <v>395000</v>
      </c>
      <c r="C30" s="40" t="n">
        <f aca="false">C29+IF($A30&lt;Inputs!$B$9,0,B$4*Inputs!$B$23*MIN(1,($A30-Inputs!$B$9+1)/(Inputs!$B$10-Inputs!$B$9+1)))*Inputs!$B$4*$A$5-$B30</f>
        <v>-8253210.88435374</v>
      </c>
      <c r="D30" s="40" t="n">
        <f aca="false">D29+IF($A30&lt;Inputs!$B$9,0,C$4*Inputs!$B$23*MIN(1,($A30-Inputs!$B$9+1)/(Inputs!$B$10-Inputs!$B$9+1)))*Inputs!$B$4*$A$5-$B30</f>
        <v>-7459414.96598639</v>
      </c>
      <c r="E30" s="40" t="n">
        <f aca="false">E29+IF($A30&lt;Inputs!$B$9,0,D$4*Inputs!$B$23*MIN(1,($A30-Inputs!$B$9+1)/(Inputs!$B$10-Inputs!$B$9+1)))*Inputs!$B$4*$A$5-$B30</f>
        <v>-6665619.04761904</v>
      </c>
      <c r="F30" s="40" t="n">
        <f aca="false">F29+IF($A30&lt;Inputs!$B$9,0,E$4*Inputs!$B$23*MIN(1,($A30-Inputs!$B$9+1)/(Inputs!$B$10-Inputs!$B$9+1)))*Inputs!$B$4*$A$5-$B30</f>
        <v>-5871823.1292517</v>
      </c>
      <c r="G30" s="40" t="n">
        <f aca="false">G29+IF($A30&lt;Inputs!$B$9,0,F$4*Inputs!$B$23*MIN(1,($A30-Inputs!$B$9+1)/(Inputs!$B$10-Inputs!$B$9+1)))*Inputs!$B$4*$A$5-$B30</f>
        <v>-5078027.21088435</v>
      </c>
      <c r="H30" s="40" t="n">
        <f aca="false">H29+IF($A30&lt;Inputs!$B$9,0,B$4*Inputs!$B$23*MIN(1,($A30-Inputs!$B$9+1)/(Inputs!$B$10-Inputs!$B$9+1)))*Inputs!$B$4*$A$6-$B30</f>
        <v>-7724013.60544217</v>
      </c>
      <c r="I30" s="40" t="n">
        <f aca="false">I29+IF($A30&lt;Inputs!$B$9,0,C$4*Inputs!$B$23*MIN(1,($A30-Inputs!$B$9+1)/(Inputs!$B$10-Inputs!$B$9+1)))*Inputs!$B$4*$A$6-$B30</f>
        <v>-6731768.70748299</v>
      </c>
      <c r="J30" s="40" t="n">
        <f aca="false">J29+IF($A30&lt;Inputs!$B$9,0,D$4*Inputs!$B$23*MIN(1,($A30-Inputs!$B$9+1)/(Inputs!$B$10-Inputs!$B$9+1)))*Inputs!$B$4*$A$6-$B30</f>
        <v>-5739523.80952381</v>
      </c>
      <c r="K30" s="40" t="n">
        <f aca="false">K29+IF($A30&lt;Inputs!$B$9,0,E$4*Inputs!$B$23*MIN(1,($A30-Inputs!$B$9+1)/(Inputs!$B$10-Inputs!$B$9+1)))*Inputs!$B$4*$A$6-$B30</f>
        <v>-4747278.91156462</v>
      </c>
      <c r="L30" s="40" t="n">
        <f aca="false">L29+IF($A30&lt;Inputs!$B$9,0,F$4*Inputs!$B$23*MIN(1,($A30-Inputs!$B$9+1)/(Inputs!$B$10-Inputs!$B$9+1)))*Inputs!$B$4*$A$6-$B30</f>
        <v>-3755034.01360544</v>
      </c>
      <c r="M30" s="40" t="n">
        <f aca="false">M29+IF($A30&lt;Inputs!$B$9,0,B$4*Inputs!$B$23*MIN(1,($A30-Inputs!$B$9+1)/(Inputs!$B$10-Inputs!$B$9+1)))*Inputs!$B$4*$A$7-$B30</f>
        <v>-7194816.32653061</v>
      </c>
      <c r="N30" s="40" t="n">
        <f aca="false">N29+IF($A30&lt;Inputs!$B$9,0,C$4*Inputs!$B$23*MIN(1,($A30-Inputs!$B$9+1)/(Inputs!$B$10-Inputs!$B$9+1)))*Inputs!$B$4*$A$7-$B30</f>
        <v>-6004122.44897959</v>
      </c>
      <c r="O30" s="40" t="n">
        <f aca="false">O29+IF($A30&lt;Inputs!$B$9,0,D$4*Inputs!$B$23*MIN(1,($A30-Inputs!$B$9+1)/(Inputs!$B$10-Inputs!$B$9+1)))*Inputs!$B$4*$A$7-$B30</f>
        <v>-4813428.57142857</v>
      </c>
      <c r="P30" s="40" t="n">
        <f aca="false">P29+IF($A30&lt;Inputs!$B$9,0,E$4*Inputs!$B$23*MIN(1,($A30-Inputs!$B$9+1)/(Inputs!$B$10-Inputs!$B$9+1)))*Inputs!$B$4*$A$7-$B30</f>
        <v>-3622734.69387755</v>
      </c>
      <c r="Q30" s="40" t="n">
        <f aca="false">Q29+IF($A30&lt;Inputs!$B$9,0,F$4*Inputs!$B$23*MIN(1,($A30-Inputs!$B$9+1)/(Inputs!$B$10-Inputs!$B$9+1)))*Inputs!$B$4*$A$7-$B30</f>
        <v>-2432040.81632653</v>
      </c>
      <c r="R30" s="40" t="n">
        <f aca="false">R29+IF($A30&lt;Inputs!$B$9,0,B$4*Inputs!$B$23*MIN(1,($A30-Inputs!$B$9+1)/(Inputs!$B$10-Inputs!$B$9+1)))*Inputs!$B$4*$A$8-$B30</f>
        <v>-6665619.04761904</v>
      </c>
      <c r="S30" s="40" t="n">
        <f aca="false">S29+IF($A30&lt;Inputs!$B$9,0,C$4*Inputs!$B$23*MIN(1,($A30-Inputs!$B$9+1)/(Inputs!$B$10-Inputs!$B$9+1)))*Inputs!$B$4*$A$8-$B30</f>
        <v>-5276476.19047619</v>
      </c>
      <c r="T30" s="40" t="n">
        <f aca="false">T29+IF($A30&lt;Inputs!$B$9,0,D$4*Inputs!$B$23*MIN(1,($A30-Inputs!$B$9+1)/(Inputs!$B$10-Inputs!$B$9+1)))*Inputs!$B$4*$A$8-$B30</f>
        <v>-3887333.33333333</v>
      </c>
      <c r="U30" s="40" t="n">
        <f aca="false">U29+IF($A30&lt;Inputs!$B$9,0,E$4*Inputs!$B$23*MIN(1,($A30-Inputs!$B$9+1)/(Inputs!$B$10-Inputs!$B$9+1)))*Inputs!$B$4*$A$8-$B30</f>
        <v>-2498190.47619047</v>
      </c>
      <c r="V30" s="40" t="n">
        <f aca="false">V29+IF($A30&lt;Inputs!$B$9,0,F$4*Inputs!$B$23*MIN(1,($A30-Inputs!$B$9+1)/(Inputs!$B$10-Inputs!$B$9+1)))*Inputs!$B$4*$A$8-$B30</f>
        <v>-1109047.61904762</v>
      </c>
    </row>
    <row r="31" customFormat="false" ht="15" hidden="false" customHeight="true" outlineLevel="0" collapsed="false">
      <c r="A31" s="14" t="n">
        <v>19</v>
      </c>
      <c r="B31" s="43" t="n">
        <f aca="false">Cashflow!B23</f>
        <v>395000</v>
      </c>
      <c r="C31" s="40" t="n">
        <f aca="false">C30+IF($A31&lt;Inputs!$B$9,0,B$4*Inputs!$B$23*MIN(1,($A31-Inputs!$B$9+1)/(Inputs!$B$10-Inputs!$B$9+1)))*Inputs!$B$4*$A$5-$B31</f>
        <v>-8365972.33560091</v>
      </c>
      <c r="D31" s="40" t="n">
        <f aca="false">D30+IF($A31&lt;Inputs!$B$9,0,C$4*Inputs!$B$23*MIN(1,($A31-Inputs!$B$9+1)/(Inputs!$B$10-Inputs!$B$9+1)))*Inputs!$B$4*$A$5-$B31</f>
        <v>-7466336.96145124</v>
      </c>
      <c r="E31" s="40" t="n">
        <f aca="false">E30+IF($A31&lt;Inputs!$B$9,0,D$4*Inputs!$B$23*MIN(1,($A31-Inputs!$B$9+1)/(Inputs!$B$10-Inputs!$B$9+1)))*Inputs!$B$4*$A$5-$B31</f>
        <v>-6566701.58730158</v>
      </c>
      <c r="F31" s="40" t="n">
        <f aca="false">F30+IF($A31&lt;Inputs!$B$9,0,E$4*Inputs!$B$23*MIN(1,($A31-Inputs!$B$9+1)/(Inputs!$B$10-Inputs!$B$9+1)))*Inputs!$B$4*$A$5-$B31</f>
        <v>-5667066.21315193</v>
      </c>
      <c r="G31" s="40" t="n">
        <f aca="false">G30+IF($A31&lt;Inputs!$B$9,0,F$4*Inputs!$B$23*MIN(1,($A31-Inputs!$B$9+1)/(Inputs!$B$10-Inputs!$B$9+1)))*Inputs!$B$4*$A$5-$B31</f>
        <v>-4767430.83900227</v>
      </c>
      <c r="H31" s="40" t="n">
        <f aca="false">H30+IF($A31&lt;Inputs!$B$9,0,B$4*Inputs!$B$23*MIN(1,($A31-Inputs!$B$9+1)/(Inputs!$B$10-Inputs!$B$9+1)))*Inputs!$B$4*$A$6-$B31</f>
        <v>-7766215.41950113</v>
      </c>
      <c r="I31" s="40" t="n">
        <f aca="false">I30+IF($A31&lt;Inputs!$B$9,0,C$4*Inputs!$B$23*MIN(1,($A31-Inputs!$B$9+1)/(Inputs!$B$10-Inputs!$B$9+1)))*Inputs!$B$4*$A$6-$B31</f>
        <v>-6641671.20181406</v>
      </c>
      <c r="J31" s="40" t="n">
        <f aca="false">J30+IF($A31&lt;Inputs!$B$9,0,D$4*Inputs!$B$23*MIN(1,($A31-Inputs!$B$9+1)/(Inputs!$B$10-Inputs!$B$9+1)))*Inputs!$B$4*$A$6-$B31</f>
        <v>-5517126.98412698</v>
      </c>
      <c r="K31" s="40" t="n">
        <f aca="false">K30+IF($A31&lt;Inputs!$B$9,0,E$4*Inputs!$B$23*MIN(1,($A31-Inputs!$B$9+1)/(Inputs!$B$10-Inputs!$B$9+1)))*Inputs!$B$4*$A$6-$B31</f>
        <v>-4392582.76643991</v>
      </c>
      <c r="L31" s="40" t="n">
        <f aca="false">L30+IF($A31&lt;Inputs!$B$9,0,F$4*Inputs!$B$23*MIN(1,($A31-Inputs!$B$9+1)/(Inputs!$B$10-Inputs!$B$9+1)))*Inputs!$B$4*$A$6-$B31</f>
        <v>-3268038.54875283</v>
      </c>
      <c r="M31" s="40" t="n">
        <f aca="false">M30+IF($A31&lt;Inputs!$B$9,0,B$4*Inputs!$B$23*MIN(1,($A31-Inputs!$B$9+1)/(Inputs!$B$10-Inputs!$B$9+1)))*Inputs!$B$4*$A$7-$B31</f>
        <v>-7166458.50340136</v>
      </c>
      <c r="N31" s="40" t="n">
        <f aca="false">N30+IF($A31&lt;Inputs!$B$9,0,C$4*Inputs!$B$23*MIN(1,($A31-Inputs!$B$9+1)/(Inputs!$B$10-Inputs!$B$9+1)))*Inputs!$B$4*$A$7-$B31</f>
        <v>-5817005.44217687</v>
      </c>
      <c r="O31" s="40" t="n">
        <f aca="false">O30+IF($A31&lt;Inputs!$B$9,0,D$4*Inputs!$B$23*MIN(1,($A31-Inputs!$B$9+1)/(Inputs!$B$10-Inputs!$B$9+1)))*Inputs!$B$4*$A$7-$B31</f>
        <v>-4467552.38095238</v>
      </c>
      <c r="P31" s="40" t="n">
        <f aca="false">P30+IF($A31&lt;Inputs!$B$9,0,E$4*Inputs!$B$23*MIN(1,($A31-Inputs!$B$9+1)/(Inputs!$B$10-Inputs!$B$9+1)))*Inputs!$B$4*$A$7-$B31</f>
        <v>-3118099.31972789</v>
      </c>
      <c r="Q31" s="40" t="n">
        <f aca="false">Q30+IF($A31&lt;Inputs!$B$9,0,F$4*Inputs!$B$23*MIN(1,($A31-Inputs!$B$9+1)/(Inputs!$B$10-Inputs!$B$9+1)))*Inputs!$B$4*$A$7-$B31</f>
        <v>-1768646.2585034</v>
      </c>
      <c r="R31" s="40" t="n">
        <f aca="false">R30+IF($A31&lt;Inputs!$B$9,0,B$4*Inputs!$B$23*MIN(1,($A31-Inputs!$B$9+1)/(Inputs!$B$10-Inputs!$B$9+1)))*Inputs!$B$4*$A$8-$B31</f>
        <v>-6566701.58730158</v>
      </c>
      <c r="S31" s="40" t="n">
        <f aca="false">S30+IF($A31&lt;Inputs!$B$9,0,C$4*Inputs!$B$23*MIN(1,($A31-Inputs!$B$9+1)/(Inputs!$B$10-Inputs!$B$9+1)))*Inputs!$B$4*$A$8-$B31</f>
        <v>-4992339.68253968</v>
      </c>
      <c r="T31" s="40" t="n">
        <f aca="false">T30+IF($A31&lt;Inputs!$B$9,0,D$4*Inputs!$B$23*MIN(1,($A31-Inputs!$B$9+1)/(Inputs!$B$10-Inputs!$B$9+1)))*Inputs!$B$4*$A$8-$B31</f>
        <v>-3417977.77777778</v>
      </c>
      <c r="U31" s="40" t="n">
        <f aca="false">U30+IF($A31&lt;Inputs!$B$9,0,E$4*Inputs!$B$23*MIN(1,($A31-Inputs!$B$9+1)/(Inputs!$B$10-Inputs!$B$9+1)))*Inputs!$B$4*$A$8-$B31</f>
        <v>-1843615.87301587</v>
      </c>
      <c r="V31" s="40" t="n">
        <f aca="false">V30+IF($A31&lt;Inputs!$B$9,0,F$4*Inputs!$B$23*MIN(1,($A31-Inputs!$B$9+1)/(Inputs!$B$10-Inputs!$B$9+1)))*Inputs!$B$4*$A$8-$B31</f>
        <v>-269253.968253966</v>
      </c>
    </row>
    <row r="32" customFormat="false" ht="15" hidden="false" customHeight="true" outlineLevel="0" collapsed="false">
      <c r="A32" s="14" t="n">
        <v>20</v>
      </c>
      <c r="B32" s="43" t="n">
        <f aca="false">Cashflow!B24</f>
        <v>395000</v>
      </c>
      <c r="C32" s="40" t="n">
        <f aca="false">C31+IF($A32&lt;Inputs!$B$9,0,B$4*Inputs!$B$23*MIN(1,($A32-Inputs!$B$9+1)/(Inputs!$B$10-Inputs!$B$9+1)))*Inputs!$B$4*$A$5-$B32</f>
        <v>-8461093.87755102</v>
      </c>
      <c r="D32" s="40" t="n">
        <f aca="false">D31+IF($A32&lt;Inputs!$B$9,0,C$4*Inputs!$B$23*MIN(1,($A32-Inputs!$B$9+1)/(Inputs!$B$10-Inputs!$B$9+1)))*Inputs!$B$4*$A$5-$B32</f>
        <v>-7449004.08163265</v>
      </c>
      <c r="E32" s="40" t="n">
        <f aca="false">E31+IF($A32&lt;Inputs!$B$9,0,D$4*Inputs!$B$23*MIN(1,($A32-Inputs!$B$9+1)/(Inputs!$B$10-Inputs!$B$9+1)))*Inputs!$B$4*$A$5-$B32</f>
        <v>-6436914.28571428</v>
      </c>
      <c r="F32" s="40" t="n">
        <f aca="false">F31+IF($A32&lt;Inputs!$B$9,0,E$4*Inputs!$B$23*MIN(1,($A32-Inputs!$B$9+1)/(Inputs!$B$10-Inputs!$B$9+1)))*Inputs!$B$4*$A$5-$B32</f>
        <v>-5424824.48979592</v>
      </c>
      <c r="G32" s="40" t="n">
        <f aca="false">G31+IF($A32&lt;Inputs!$B$9,0,F$4*Inputs!$B$23*MIN(1,($A32-Inputs!$B$9+1)/(Inputs!$B$10-Inputs!$B$9+1)))*Inputs!$B$4*$A$5-$B32</f>
        <v>-4412734.69387755</v>
      </c>
      <c r="H32" s="40" t="n">
        <f aca="false">H31+IF($A32&lt;Inputs!$B$9,0,B$4*Inputs!$B$23*MIN(1,($A32-Inputs!$B$9+1)/(Inputs!$B$10-Inputs!$B$9+1)))*Inputs!$B$4*$A$6-$B32</f>
        <v>-7786367.34693877</v>
      </c>
      <c r="I32" s="40" t="n">
        <f aca="false">I31+IF($A32&lt;Inputs!$B$9,0,C$4*Inputs!$B$23*MIN(1,($A32-Inputs!$B$9+1)/(Inputs!$B$10-Inputs!$B$9+1)))*Inputs!$B$4*$A$6-$B32</f>
        <v>-6521255.10204081</v>
      </c>
      <c r="J32" s="40" t="n">
        <f aca="false">J31+IF($A32&lt;Inputs!$B$9,0,D$4*Inputs!$B$23*MIN(1,($A32-Inputs!$B$9+1)/(Inputs!$B$10-Inputs!$B$9+1)))*Inputs!$B$4*$A$6-$B32</f>
        <v>-5256142.85714286</v>
      </c>
      <c r="K32" s="40" t="n">
        <f aca="false">K31+IF($A32&lt;Inputs!$B$9,0,E$4*Inputs!$B$23*MIN(1,($A32-Inputs!$B$9+1)/(Inputs!$B$10-Inputs!$B$9+1)))*Inputs!$B$4*$A$6-$B32</f>
        <v>-3991030.6122449</v>
      </c>
      <c r="L32" s="40" t="n">
        <f aca="false">L31+IF($A32&lt;Inputs!$B$9,0,F$4*Inputs!$B$23*MIN(1,($A32-Inputs!$B$9+1)/(Inputs!$B$10-Inputs!$B$9+1)))*Inputs!$B$4*$A$6-$B32</f>
        <v>-2725918.36734694</v>
      </c>
      <c r="M32" s="40" t="n">
        <f aca="false">M31+IF($A32&lt;Inputs!$B$9,0,B$4*Inputs!$B$23*MIN(1,($A32-Inputs!$B$9+1)/(Inputs!$B$10-Inputs!$B$9+1)))*Inputs!$B$4*$A$7-$B32</f>
        <v>-7111640.81632653</v>
      </c>
      <c r="N32" s="40" t="n">
        <f aca="false">N31+IF($A32&lt;Inputs!$B$9,0,C$4*Inputs!$B$23*MIN(1,($A32-Inputs!$B$9+1)/(Inputs!$B$10-Inputs!$B$9+1)))*Inputs!$B$4*$A$7-$B32</f>
        <v>-5593506.12244898</v>
      </c>
      <c r="O32" s="40" t="n">
        <f aca="false">O31+IF($A32&lt;Inputs!$B$9,0,D$4*Inputs!$B$23*MIN(1,($A32-Inputs!$B$9+1)/(Inputs!$B$10-Inputs!$B$9+1)))*Inputs!$B$4*$A$7-$B32</f>
        <v>-4075371.42857143</v>
      </c>
      <c r="P32" s="40" t="n">
        <f aca="false">P31+IF($A32&lt;Inputs!$B$9,0,E$4*Inputs!$B$23*MIN(1,($A32-Inputs!$B$9+1)/(Inputs!$B$10-Inputs!$B$9+1)))*Inputs!$B$4*$A$7-$B32</f>
        <v>-2557236.73469388</v>
      </c>
      <c r="Q32" s="40" t="n">
        <f aca="false">Q31+IF($A32&lt;Inputs!$B$9,0,F$4*Inputs!$B$23*MIN(1,($A32-Inputs!$B$9+1)/(Inputs!$B$10-Inputs!$B$9+1)))*Inputs!$B$4*$A$7-$B32</f>
        <v>-1039102.04081632</v>
      </c>
      <c r="R32" s="40" t="n">
        <f aca="false">R31+IF($A32&lt;Inputs!$B$9,0,B$4*Inputs!$B$23*MIN(1,($A32-Inputs!$B$9+1)/(Inputs!$B$10-Inputs!$B$9+1)))*Inputs!$B$4*$A$8-$B32</f>
        <v>-6436914.28571428</v>
      </c>
      <c r="S32" s="40" t="n">
        <f aca="false">S31+IF($A32&lt;Inputs!$B$9,0,C$4*Inputs!$B$23*MIN(1,($A32-Inputs!$B$9+1)/(Inputs!$B$10-Inputs!$B$9+1)))*Inputs!$B$4*$A$8-$B32</f>
        <v>-4665757.14285714</v>
      </c>
      <c r="T32" s="40" t="n">
        <f aca="false">T31+IF($A32&lt;Inputs!$B$9,0,D$4*Inputs!$B$23*MIN(1,($A32-Inputs!$B$9+1)/(Inputs!$B$10-Inputs!$B$9+1)))*Inputs!$B$4*$A$8-$B32</f>
        <v>-2894600</v>
      </c>
      <c r="U32" s="40" t="n">
        <f aca="false">U31+IF($A32&lt;Inputs!$B$9,0,E$4*Inputs!$B$23*MIN(1,($A32-Inputs!$B$9+1)/(Inputs!$B$10-Inputs!$B$9+1)))*Inputs!$B$4*$A$8-$B32</f>
        <v>-1123442.85714286</v>
      </c>
      <c r="V32" s="40" t="n">
        <f aca="false">V31+IF($A32&lt;Inputs!$B$9,0,F$4*Inputs!$B$23*MIN(1,($A32-Inputs!$B$9+1)/(Inputs!$B$10-Inputs!$B$9+1)))*Inputs!$B$4*$A$8-$B32</f>
        <v>647714.285714288</v>
      </c>
    </row>
    <row r="33" customFormat="false" ht="15" hidden="false" customHeight="true" outlineLevel="0" collapsed="false">
      <c r="A33" s="14" t="n">
        <v>21</v>
      </c>
      <c r="B33" s="43" t="n">
        <f aca="false">Cashflow!B25</f>
        <v>395000</v>
      </c>
      <c r="C33" s="40" t="n">
        <f aca="false">C32+IF($A33&lt;Inputs!$B$9,0,B$4*Inputs!$B$23*MIN(1,($A33-Inputs!$B$9+1)/(Inputs!$B$10-Inputs!$B$9+1)))*Inputs!$B$4*$A$5-$B33</f>
        <v>-8538575.51020408</v>
      </c>
      <c r="D33" s="40" t="n">
        <f aca="false">D32+IF($A33&lt;Inputs!$B$9,0,C$4*Inputs!$B$23*MIN(1,($A33-Inputs!$B$9+1)/(Inputs!$B$10-Inputs!$B$9+1)))*Inputs!$B$4*$A$5-$B33</f>
        <v>-7407416.32653061</v>
      </c>
      <c r="E33" s="40" t="n">
        <f aca="false">E32+IF($A33&lt;Inputs!$B$9,0,D$4*Inputs!$B$23*MIN(1,($A33-Inputs!$B$9+1)/(Inputs!$B$10-Inputs!$B$9+1)))*Inputs!$B$4*$A$5-$B33</f>
        <v>-6276257.14285714</v>
      </c>
      <c r="F33" s="40" t="n">
        <f aca="false">F32+IF($A33&lt;Inputs!$B$9,0,E$4*Inputs!$B$23*MIN(1,($A33-Inputs!$B$9+1)/(Inputs!$B$10-Inputs!$B$9+1)))*Inputs!$B$4*$A$5-$B33</f>
        <v>-5145097.95918367</v>
      </c>
      <c r="G33" s="40" t="n">
        <f aca="false">G32+IF($A33&lt;Inputs!$B$9,0,F$4*Inputs!$B$23*MIN(1,($A33-Inputs!$B$9+1)/(Inputs!$B$10-Inputs!$B$9+1)))*Inputs!$B$4*$A$5-$B33</f>
        <v>-4013938.7755102</v>
      </c>
      <c r="H33" s="40" t="n">
        <f aca="false">H32+IF($A33&lt;Inputs!$B$9,0,B$4*Inputs!$B$23*MIN(1,($A33-Inputs!$B$9+1)/(Inputs!$B$10-Inputs!$B$9+1)))*Inputs!$B$4*$A$6-$B33</f>
        <v>-7784469.3877551</v>
      </c>
      <c r="I33" s="40" t="n">
        <f aca="false">I32+IF($A33&lt;Inputs!$B$9,0,C$4*Inputs!$B$23*MIN(1,($A33-Inputs!$B$9+1)/(Inputs!$B$10-Inputs!$B$9+1)))*Inputs!$B$4*$A$6-$B33</f>
        <v>-6370520.40816326</v>
      </c>
      <c r="J33" s="40" t="n">
        <f aca="false">J32+IF($A33&lt;Inputs!$B$9,0,D$4*Inputs!$B$23*MIN(1,($A33-Inputs!$B$9+1)/(Inputs!$B$10-Inputs!$B$9+1)))*Inputs!$B$4*$A$6-$B33</f>
        <v>-4956571.42857143</v>
      </c>
      <c r="K33" s="40" t="n">
        <f aca="false">K32+IF($A33&lt;Inputs!$B$9,0,E$4*Inputs!$B$23*MIN(1,($A33-Inputs!$B$9+1)/(Inputs!$B$10-Inputs!$B$9+1)))*Inputs!$B$4*$A$6-$B33</f>
        <v>-3542622.44897959</v>
      </c>
      <c r="L33" s="40" t="n">
        <f aca="false">L32+IF($A33&lt;Inputs!$B$9,0,F$4*Inputs!$B$23*MIN(1,($A33-Inputs!$B$9+1)/(Inputs!$B$10-Inputs!$B$9+1)))*Inputs!$B$4*$A$6-$B33</f>
        <v>-2128673.46938775</v>
      </c>
      <c r="M33" s="40" t="n">
        <f aca="false">M32+IF($A33&lt;Inputs!$B$9,0,B$4*Inputs!$B$23*MIN(1,($A33-Inputs!$B$9+1)/(Inputs!$B$10-Inputs!$B$9+1)))*Inputs!$B$4*$A$7-$B33</f>
        <v>-7030363.26530612</v>
      </c>
      <c r="N33" s="40" t="n">
        <f aca="false">N32+IF($A33&lt;Inputs!$B$9,0,C$4*Inputs!$B$23*MIN(1,($A33-Inputs!$B$9+1)/(Inputs!$B$10-Inputs!$B$9+1)))*Inputs!$B$4*$A$7-$B33</f>
        <v>-5333624.48979592</v>
      </c>
      <c r="O33" s="40" t="n">
        <f aca="false">O32+IF($A33&lt;Inputs!$B$9,0,D$4*Inputs!$B$23*MIN(1,($A33-Inputs!$B$9+1)/(Inputs!$B$10-Inputs!$B$9+1)))*Inputs!$B$4*$A$7-$B33</f>
        <v>-3636885.71428571</v>
      </c>
      <c r="P33" s="40" t="n">
        <f aca="false">P32+IF($A33&lt;Inputs!$B$9,0,E$4*Inputs!$B$23*MIN(1,($A33-Inputs!$B$9+1)/(Inputs!$B$10-Inputs!$B$9+1)))*Inputs!$B$4*$A$7-$B33</f>
        <v>-1940146.93877551</v>
      </c>
      <c r="Q33" s="40" t="n">
        <f aca="false">Q32+IF($A33&lt;Inputs!$B$9,0,F$4*Inputs!$B$23*MIN(1,($A33-Inputs!$B$9+1)/(Inputs!$B$10-Inputs!$B$9+1)))*Inputs!$B$4*$A$7-$B33</f>
        <v>-243408.163265302</v>
      </c>
      <c r="R33" s="40" t="n">
        <f aca="false">R32+IF($A33&lt;Inputs!$B$9,0,B$4*Inputs!$B$23*MIN(1,($A33-Inputs!$B$9+1)/(Inputs!$B$10-Inputs!$B$9+1)))*Inputs!$B$4*$A$8-$B33</f>
        <v>-6276257.14285714</v>
      </c>
      <c r="S33" s="40" t="n">
        <f aca="false">S32+IF($A33&lt;Inputs!$B$9,0,C$4*Inputs!$B$23*MIN(1,($A33-Inputs!$B$9+1)/(Inputs!$B$10-Inputs!$B$9+1)))*Inputs!$B$4*$A$8-$B33</f>
        <v>-4296728.57142857</v>
      </c>
      <c r="T33" s="40" t="n">
        <f aca="false">T32+IF($A33&lt;Inputs!$B$9,0,D$4*Inputs!$B$23*MIN(1,($A33-Inputs!$B$9+1)/(Inputs!$B$10-Inputs!$B$9+1)))*Inputs!$B$4*$A$8-$B33</f>
        <v>-2317200</v>
      </c>
      <c r="U33" s="40" t="n">
        <f aca="false">U32+IF($A33&lt;Inputs!$B$9,0,E$4*Inputs!$B$23*MIN(1,($A33-Inputs!$B$9+1)/(Inputs!$B$10-Inputs!$B$9+1)))*Inputs!$B$4*$A$8-$B33</f>
        <v>-337671.428571427</v>
      </c>
      <c r="V33" s="40" t="n">
        <f aca="false">V32+IF($A33&lt;Inputs!$B$9,0,F$4*Inputs!$B$23*MIN(1,($A33-Inputs!$B$9+1)/(Inputs!$B$10-Inputs!$B$9+1)))*Inputs!$B$4*$A$8-$B33</f>
        <v>1641857.14285715</v>
      </c>
    </row>
    <row r="34" customFormat="false" ht="15" hidden="false" customHeight="true" outlineLevel="0" collapsed="false">
      <c r="A34" s="14" t="n">
        <v>22</v>
      </c>
      <c r="B34" s="43" t="n">
        <f aca="false">Cashflow!B26</f>
        <v>395000</v>
      </c>
      <c r="C34" s="40" t="n">
        <f aca="false">C33+IF($A34&lt;Inputs!$B$9,0,B$4*Inputs!$B$23*MIN(1,($A34-Inputs!$B$9+1)/(Inputs!$B$10-Inputs!$B$9+1)))*Inputs!$B$4*$A$5-$B34</f>
        <v>-8598417.23356009</v>
      </c>
      <c r="D34" s="40" t="n">
        <f aca="false">D33+IF($A34&lt;Inputs!$B$9,0,C$4*Inputs!$B$23*MIN(1,($A34-Inputs!$B$9+1)/(Inputs!$B$10-Inputs!$B$9+1)))*Inputs!$B$4*$A$5-$B34</f>
        <v>-7341573.69614512</v>
      </c>
      <c r="E34" s="40" t="n">
        <f aca="false">E33+IF($A34&lt;Inputs!$B$9,0,D$4*Inputs!$B$23*MIN(1,($A34-Inputs!$B$9+1)/(Inputs!$B$10-Inputs!$B$9+1)))*Inputs!$B$4*$A$5-$B34</f>
        <v>-6084730.15873016</v>
      </c>
      <c r="F34" s="40" t="n">
        <f aca="false">F33+IF($A34&lt;Inputs!$B$9,0,E$4*Inputs!$B$23*MIN(1,($A34-Inputs!$B$9+1)/(Inputs!$B$10-Inputs!$B$9+1)))*Inputs!$B$4*$A$5-$B34</f>
        <v>-4827886.62131519</v>
      </c>
      <c r="G34" s="40" t="n">
        <f aca="false">G33+IF($A34&lt;Inputs!$B$9,0,F$4*Inputs!$B$23*MIN(1,($A34-Inputs!$B$9+1)/(Inputs!$B$10-Inputs!$B$9+1)))*Inputs!$B$4*$A$5-$B34</f>
        <v>-3571043.08390022</v>
      </c>
      <c r="H34" s="40" t="n">
        <f aca="false">H33+IF($A34&lt;Inputs!$B$9,0,B$4*Inputs!$B$23*MIN(1,($A34-Inputs!$B$9+1)/(Inputs!$B$10-Inputs!$B$9+1)))*Inputs!$B$4*$A$6-$B34</f>
        <v>-7760521.54195011</v>
      </c>
      <c r="I34" s="40" t="n">
        <f aca="false">I33+IF($A34&lt;Inputs!$B$9,0,C$4*Inputs!$B$23*MIN(1,($A34-Inputs!$B$9+1)/(Inputs!$B$10-Inputs!$B$9+1)))*Inputs!$B$4*$A$6-$B34</f>
        <v>-6189467.1201814</v>
      </c>
      <c r="J34" s="40" t="n">
        <f aca="false">J33+IF($A34&lt;Inputs!$B$9,0,D$4*Inputs!$B$23*MIN(1,($A34-Inputs!$B$9+1)/(Inputs!$B$10-Inputs!$B$9+1)))*Inputs!$B$4*$A$6-$B34</f>
        <v>-4618412.6984127</v>
      </c>
      <c r="K34" s="40" t="n">
        <f aca="false">K33+IF($A34&lt;Inputs!$B$9,0,E$4*Inputs!$B$23*MIN(1,($A34-Inputs!$B$9+1)/(Inputs!$B$10-Inputs!$B$9+1)))*Inputs!$B$4*$A$6-$B34</f>
        <v>-3047358.27664399</v>
      </c>
      <c r="L34" s="40" t="n">
        <f aca="false">L33+IF($A34&lt;Inputs!$B$9,0,F$4*Inputs!$B$23*MIN(1,($A34-Inputs!$B$9+1)/(Inputs!$B$10-Inputs!$B$9+1)))*Inputs!$B$4*$A$6-$B34</f>
        <v>-1476303.85487528</v>
      </c>
      <c r="M34" s="40" t="n">
        <f aca="false">M33+IF($A34&lt;Inputs!$B$9,0,B$4*Inputs!$B$23*MIN(1,($A34-Inputs!$B$9+1)/(Inputs!$B$10-Inputs!$B$9+1)))*Inputs!$B$4*$A$7-$B34</f>
        <v>-6922625.85034013</v>
      </c>
      <c r="N34" s="40" t="n">
        <f aca="false">N33+IF($A34&lt;Inputs!$B$9,0,C$4*Inputs!$B$23*MIN(1,($A34-Inputs!$B$9+1)/(Inputs!$B$10-Inputs!$B$9+1)))*Inputs!$B$4*$A$7-$B34</f>
        <v>-5037360.54421768</v>
      </c>
      <c r="O34" s="40" t="n">
        <f aca="false">O33+IF($A34&lt;Inputs!$B$9,0,D$4*Inputs!$B$23*MIN(1,($A34-Inputs!$B$9+1)/(Inputs!$B$10-Inputs!$B$9+1)))*Inputs!$B$4*$A$7-$B34</f>
        <v>-3152095.23809524</v>
      </c>
      <c r="P34" s="40" t="n">
        <f aca="false">P33+IF($A34&lt;Inputs!$B$9,0,E$4*Inputs!$B$23*MIN(1,($A34-Inputs!$B$9+1)/(Inputs!$B$10-Inputs!$B$9+1)))*Inputs!$B$4*$A$7-$B34</f>
        <v>-1266829.93197279</v>
      </c>
      <c r="Q34" s="40" t="n">
        <f aca="false">Q33+IF($A34&lt;Inputs!$B$9,0,F$4*Inputs!$B$23*MIN(1,($A34-Inputs!$B$9+1)/(Inputs!$B$10-Inputs!$B$9+1)))*Inputs!$B$4*$A$7-$B34</f>
        <v>618435.374149664</v>
      </c>
      <c r="R34" s="40" t="n">
        <f aca="false">R33+IF($A34&lt;Inputs!$B$9,0,B$4*Inputs!$B$23*MIN(1,($A34-Inputs!$B$9+1)/(Inputs!$B$10-Inputs!$B$9+1)))*Inputs!$B$4*$A$8-$B34</f>
        <v>-6084730.15873016</v>
      </c>
      <c r="S34" s="40" t="n">
        <f aca="false">S33+IF($A34&lt;Inputs!$B$9,0,C$4*Inputs!$B$23*MIN(1,($A34-Inputs!$B$9+1)/(Inputs!$B$10-Inputs!$B$9+1)))*Inputs!$B$4*$A$8-$B34</f>
        <v>-3885253.96825397</v>
      </c>
      <c r="T34" s="40" t="n">
        <f aca="false">T33+IF($A34&lt;Inputs!$B$9,0,D$4*Inputs!$B$23*MIN(1,($A34-Inputs!$B$9+1)/(Inputs!$B$10-Inputs!$B$9+1)))*Inputs!$B$4*$A$8-$B34</f>
        <v>-1685777.77777778</v>
      </c>
      <c r="U34" s="40" t="n">
        <f aca="false">U33+IF($A34&lt;Inputs!$B$9,0,E$4*Inputs!$B$23*MIN(1,($A34-Inputs!$B$9+1)/(Inputs!$B$10-Inputs!$B$9+1)))*Inputs!$B$4*$A$8-$B34</f>
        <v>513698.412698414</v>
      </c>
      <c r="V34" s="40" t="n">
        <f aca="false">V33+IF($A34&lt;Inputs!$B$9,0,F$4*Inputs!$B$23*MIN(1,($A34-Inputs!$B$9+1)/(Inputs!$B$10-Inputs!$B$9+1)))*Inputs!$B$4*$A$8-$B34</f>
        <v>2713174.60317461</v>
      </c>
    </row>
    <row r="35" customFormat="false" ht="15" hidden="false" customHeight="true" outlineLevel="0" collapsed="false">
      <c r="A35" s="14" t="n">
        <v>23</v>
      </c>
      <c r="B35" s="43" t="n">
        <f aca="false">Cashflow!B27</f>
        <v>395000</v>
      </c>
      <c r="C35" s="40" t="n">
        <f aca="false">C34+IF($A35&lt;Inputs!$B$9,0,B$4*Inputs!$B$23*MIN(1,($A35-Inputs!$B$9+1)/(Inputs!$B$10-Inputs!$B$9+1)))*Inputs!$B$4*$A$5-$B35</f>
        <v>-8640619.04761905</v>
      </c>
      <c r="D35" s="40" t="n">
        <f aca="false">D34+IF($A35&lt;Inputs!$B$9,0,C$4*Inputs!$B$23*MIN(1,($A35-Inputs!$B$9+1)/(Inputs!$B$10-Inputs!$B$9+1)))*Inputs!$B$4*$A$5-$B35</f>
        <v>-7251476.19047619</v>
      </c>
      <c r="E35" s="40" t="n">
        <f aca="false">E34+IF($A35&lt;Inputs!$B$9,0,D$4*Inputs!$B$23*MIN(1,($A35-Inputs!$B$9+1)/(Inputs!$B$10-Inputs!$B$9+1)))*Inputs!$B$4*$A$5-$B35</f>
        <v>-5862333.33333333</v>
      </c>
      <c r="F35" s="40" t="n">
        <f aca="false">F34+IF($A35&lt;Inputs!$B$9,0,E$4*Inputs!$B$23*MIN(1,($A35-Inputs!$B$9+1)/(Inputs!$B$10-Inputs!$B$9+1)))*Inputs!$B$4*$A$5-$B35</f>
        <v>-4473190.47619048</v>
      </c>
      <c r="G35" s="40" t="n">
        <f aca="false">G34+IF($A35&lt;Inputs!$B$9,0,F$4*Inputs!$B$23*MIN(1,($A35-Inputs!$B$9+1)/(Inputs!$B$10-Inputs!$B$9+1)))*Inputs!$B$4*$A$5-$B35</f>
        <v>-3084047.61904762</v>
      </c>
      <c r="H35" s="40" t="n">
        <f aca="false">H34+IF($A35&lt;Inputs!$B$9,0,B$4*Inputs!$B$23*MIN(1,($A35-Inputs!$B$9+1)/(Inputs!$B$10-Inputs!$B$9+1)))*Inputs!$B$4*$A$6-$B35</f>
        <v>-7714523.80952381</v>
      </c>
      <c r="I35" s="40" t="n">
        <f aca="false">I34+IF($A35&lt;Inputs!$B$9,0,C$4*Inputs!$B$23*MIN(1,($A35-Inputs!$B$9+1)/(Inputs!$B$10-Inputs!$B$9+1)))*Inputs!$B$4*$A$6-$B35</f>
        <v>-5978095.23809524</v>
      </c>
      <c r="J35" s="40" t="n">
        <f aca="false">J34+IF($A35&lt;Inputs!$B$9,0,D$4*Inputs!$B$23*MIN(1,($A35-Inputs!$B$9+1)/(Inputs!$B$10-Inputs!$B$9+1)))*Inputs!$B$4*$A$6-$B35</f>
        <v>-4241666.66666667</v>
      </c>
      <c r="K35" s="40" t="n">
        <f aca="false">K34+IF($A35&lt;Inputs!$B$9,0,E$4*Inputs!$B$23*MIN(1,($A35-Inputs!$B$9+1)/(Inputs!$B$10-Inputs!$B$9+1)))*Inputs!$B$4*$A$6-$B35</f>
        <v>-2505238.09523809</v>
      </c>
      <c r="L35" s="40" t="n">
        <f aca="false">L34+IF($A35&lt;Inputs!$B$9,0,F$4*Inputs!$B$23*MIN(1,($A35-Inputs!$B$9+1)/(Inputs!$B$10-Inputs!$B$9+1)))*Inputs!$B$4*$A$6-$B35</f>
        <v>-768809.523809521</v>
      </c>
      <c r="M35" s="40" t="n">
        <f aca="false">M34+IF($A35&lt;Inputs!$B$9,0,B$4*Inputs!$B$23*MIN(1,($A35-Inputs!$B$9+1)/(Inputs!$B$10-Inputs!$B$9+1)))*Inputs!$B$4*$A$7-$B35</f>
        <v>-6788428.57142857</v>
      </c>
      <c r="N35" s="40" t="n">
        <f aca="false">N34+IF($A35&lt;Inputs!$B$9,0,C$4*Inputs!$B$23*MIN(1,($A35-Inputs!$B$9+1)/(Inputs!$B$10-Inputs!$B$9+1)))*Inputs!$B$4*$A$7-$B35</f>
        <v>-4704714.28571428</v>
      </c>
      <c r="O35" s="40" t="n">
        <f aca="false">O34+IF($A35&lt;Inputs!$B$9,0,D$4*Inputs!$B$23*MIN(1,($A35-Inputs!$B$9+1)/(Inputs!$B$10-Inputs!$B$9+1)))*Inputs!$B$4*$A$7-$B35</f>
        <v>-2621000</v>
      </c>
      <c r="P35" s="40" t="n">
        <f aca="false">P34+IF($A35&lt;Inputs!$B$9,0,E$4*Inputs!$B$23*MIN(1,($A35-Inputs!$B$9+1)/(Inputs!$B$10-Inputs!$B$9+1)))*Inputs!$B$4*$A$7-$B35</f>
        <v>-537285.714285712</v>
      </c>
      <c r="Q35" s="40" t="n">
        <f aca="false">Q34+IF($A35&lt;Inputs!$B$9,0,F$4*Inputs!$B$23*MIN(1,($A35-Inputs!$B$9+1)/(Inputs!$B$10-Inputs!$B$9+1)))*Inputs!$B$4*$A$7-$B35</f>
        <v>1546428.57142858</v>
      </c>
      <c r="R35" s="40" t="n">
        <f aca="false">R34+IF($A35&lt;Inputs!$B$9,0,B$4*Inputs!$B$23*MIN(1,($A35-Inputs!$B$9+1)/(Inputs!$B$10-Inputs!$B$9+1)))*Inputs!$B$4*$A$8-$B35</f>
        <v>-5862333.33333333</v>
      </c>
      <c r="S35" s="40" t="n">
        <f aca="false">S34+IF($A35&lt;Inputs!$B$9,0,C$4*Inputs!$B$23*MIN(1,($A35-Inputs!$B$9+1)/(Inputs!$B$10-Inputs!$B$9+1)))*Inputs!$B$4*$A$8-$B35</f>
        <v>-3431333.33333333</v>
      </c>
      <c r="T35" s="40" t="n">
        <f aca="false">T34+IF($A35&lt;Inputs!$B$9,0,D$4*Inputs!$B$23*MIN(1,($A35-Inputs!$B$9+1)/(Inputs!$B$10-Inputs!$B$9+1)))*Inputs!$B$4*$A$8-$B35</f>
        <v>-1000333.33333333</v>
      </c>
      <c r="U35" s="40" t="n">
        <f aca="false">U34+IF($A35&lt;Inputs!$B$9,0,E$4*Inputs!$B$23*MIN(1,($A35-Inputs!$B$9+1)/(Inputs!$B$10-Inputs!$B$9+1)))*Inputs!$B$4*$A$8-$B35</f>
        <v>1430666.66666667</v>
      </c>
      <c r="V35" s="40" t="n">
        <f aca="false">V34+IF($A35&lt;Inputs!$B$9,0,F$4*Inputs!$B$23*MIN(1,($A35-Inputs!$B$9+1)/(Inputs!$B$10-Inputs!$B$9+1)))*Inputs!$B$4*$A$8-$B35</f>
        <v>3861666.66666667</v>
      </c>
    </row>
    <row r="36" customFormat="false" ht="15" hidden="false" customHeight="true" outlineLevel="0" collapsed="false">
      <c r="A36" s="14" t="n">
        <v>24</v>
      </c>
      <c r="B36" s="43" t="n">
        <f aca="false">Cashflow!B28</f>
        <v>395000</v>
      </c>
      <c r="C36" s="40" t="n">
        <f aca="false">C35+IF($A36&lt;Inputs!$B$9,0,B$4*Inputs!$B$23*MIN(1,($A36-Inputs!$B$9+1)/(Inputs!$B$10-Inputs!$B$9+1)))*Inputs!$B$4*$A$5-$B36</f>
        <v>-8665180.95238095</v>
      </c>
      <c r="D36" s="40" t="n">
        <f aca="false">D35+IF($A36&lt;Inputs!$B$9,0,C$4*Inputs!$B$23*MIN(1,($A36-Inputs!$B$9+1)/(Inputs!$B$10-Inputs!$B$9+1)))*Inputs!$B$4*$A$5-$B36</f>
        <v>-7137123.80952381</v>
      </c>
      <c r="E36" s="40" t="n">
        <f aca="false">E35+IF($A36&lt;Inputs!$B$9,0,D$4*Inputs!$B$23*MIN(1,($A36-Inputs!$B$9+1)/(Inputs!$B$10-Inputs!$B$9+1)))*Inputs!$B$4*$A$5-$B36</f>
        <v>-5609066.66666666</v>
      </c>
      <c r="F36" s="40" t="n">
        <f aca="false">F35+IF($A36&lt;Inputs!$B$9,0,E$4*Inputs!$B$23*MIN(1,($A36-Inputs!$B$9+1)/(Inputs!$B$10-Inputs!$B$9+1)))*Inputs!$B$4*$A$5-$B36</f>
        <v>-4081009.52380952</v>
      </c>
      <c r="G36" s="40" t="n">
        <f aca="false">G35+IF($A36&lt;Inputs!$B$9,0,F$4*Inputs!$B$23*MIN(1,($A36-Inputs!$B$9+1)/(Inputs!$B$10-Inputs!$B$9+1)))*Inputs!$B$4*$A$5-$B36</f>
        <v>-2552952.38095238</v>
      </c>
      <c r="H36" s="40" t="n">
        <f aca="false">H35+IF($A36&lt;Inputs!$B$9,0,B$4*Inputs!$B$23*MIN(1,($A36-Inputs!$B$9+1)/(Inputs!$B$10-Inputs!$B$9+1)))*Inputs!$B$4*$A$6-$B36</f>
        <v>-7646476.19047619</v>
      </c>
      <c r="I36" s="40" t="n">
        <f aca="false">I35+IF($A36&lt;Inputs!$B$9,0,C$4*Inputs!$B$23*MIN(1,($A36-Inputs!$B$9+1)/(Inputs!$B$10-Inputs!$B$9+1)))*Inputs!$B$4*$A$6-$B36</f>
        <v>-5736404.76190476</v>
      </c>
      <c r="J36" s="40" t="n">
        <f aca="false">J35+IF($A36&lt;Inputs!$B$9,0,D$4*Inputs!$B$23*MIN(1,($A36-Inputs!$B$9+1)/(Inputs!$B$10-Inputs!$B$9+1)))*Inputs!$B$4*$A$6-$B36</f>
        <v>-3826333.33333333</v>
      </c>
      <c r="K36" s="40" t="n">
        <f aca="false">K35+IF($A36&lt;Inputs!$B$9,0,E$4*Inputs!$B$23*MIN(1,($A36-Inputs!$B$9+1)/(Inputs!$B$10-Inputs!$B$9+1)))*Inputs!$B$4*$A$6-$B36</f>
        <v>-1916261.9047619</v>
      </c>
      <c r="L36" s="40" t="n">
        <f aca="false">L35+IF($A36&lt;Inputs!$B$9,0,F$4*Inputs!$B$23*MIN(1,($A36-Inputs!$B$9+1)/(Inputs!$B$10-Inputs!$B$9+1)))*Inputs!$B$4*$A$6-$B36</f>
        <v>-6190.47619047319</v>
      </c>
      <c r="M36" s="40" t="n">
        <f aca="false">M35+IF($A36&lt;Inputs!$B$9,0,B$4*Inputs!$B$23*MIN(1,($A36-Inputs!$B$9+1)/(Inputs!$B$10-Inputs!$B$9+1)))*Inputs!$B$4*$A$7-$B36</f>
        <v>-6627771.42857143</v>
      </c>
      <c r="N36" s="40" t="n">
        <f aca="false">N35+IF($A36&lt;Inputs!$B$9,0,C$4*Inputs!$B$23*MIN(1,($A36-Inputs!$B$9+1)/(Inputs!$B$10-Inputs!$B$9+1)))*Inputs!$B$4*$A$7-$B36</f>
        <v>-4335685.71428571</v>
      </c>
      <c r="O36" s="40" t="n">
        <f aca="false">O35+IF($A36&lt;Inputs!$B$9,0,D$4*Inputs!$B$23*MIN(1,($A36-Inputs!$B$9+1)/(Inputs!$B$10-Inputs!$B$9+1)))*Inputs!$B$4*$A$7-$B36</f>
        <v>-2043600</v>
      </c>
      <c r="P36" s="40" t="n">
        <f aca="false">P35+IF($A36&lt;Inputs!$B$9,0,E$4*Inputs!$B$23*MIN(1,($A36-Inputs!$B$9+1)/(Inputs!$B$10-Inputs!$B$9+1)))*Inputs!$B$4*$A$7-$B36</f>
        <v>248485.714285716</v>
      </c>
      <c r="Q36" s="40" t="n">
        <f aca="false">Q35+IF($A36&lt;Inputs!$B$9,0,F$4*Inputs!$B$23*MIN(1,($A36-Inputs!$B$9+1)/(Inputs!$B$10-Inputs!$B$9+1)))*Inputs!$B$4*$A$7-$B36</f>
        <v>2540571.42857143</v>
      </c>
      <c r="R36" s="40" t="n">
        <f aca="false">R35+IF($A36&lt;Inputs!$B$9,0,B$4*Inputs!$B$23*MIN(1,($A36-Inputs!$B$9+1)/(Inputs!$B$10-Inputs!$B$9+1)))*Inputs!$B$4*$A$8-$B36</f>
        <v>-5609066.66666666</v>
      </c>
      <c r="S36" s="40" t="n">
        <f aca="false">S35+IF($A36&lt;Inputs!$B$9,0,C$4*Inputs!$B$23*MIN(1,($A36-Inputs!$B$9+1)/(Inputs!$B$10-Inputs!$B$9+1)))*Inputs!$B$4*$A$8-$B36</f>
        <v>-2934966.66666667</v>
      </c>
      <c r="T36" s="40" t="n">
        <f aca="false">T35+IF($A36&lt;Inputs!$B$9,0,D$4*Inputs!$B$23*MIN(1,($A36-Inputs!$B$9+1)/(Inputs!$B$10-Inputs!$B$9+1)))*Inputs!$B$4*$A$8-$B36</f>
        <v>-260866.666666668</v>
      </c>
      <c r="U36" s="40" t="n">
        <f aca="false">U35+IF($A36&lt;Inputs!$B$9,0,E$4*Inputs!$B$23*MIN(1,($A36-Inputs!$B$9+1)/(Inputs!$B$10-Inputs!$B$9+1)))*Inputs!$B$4*$A$8-$B36</f>
        <v>2413233.33333334</v>
      </c>
      <c r="V36" s="40" t="n">
        <f aca="false">V35+IF($A36&lt;Inputs!$B$9,0,F$4*Inputs!$B$23*MIN(1,($A36-Inputs!$B$9+1)/(Inputs!$B$10-Inputs!$B$9+1)))*Inputs!$B$4*$A$8-$B36</f>
        <v>5087333.33333334</v>
      </c>
    </row>
    <row r="37" customFormat="false" ht="15" hidden="false" customHeight="true" outlineLevel="0" collapsed="false">
      <c r="A37" s="14" t="n">
        <v>25</v>
      </c>
      <c r="B37" s="43" t="n">
        <f aca="false">Cashflow!B29</f>
        <v>395000</v>
      </c>
      <c r="C37" s="40" t="n">
        <f aca="false">C36+IF($A37&lt;Inputs!$B$9,0,B$4*Inputs!$B$23*MIN(1,($A37-Inputs!$B$9+1)/(Inputs!$B$10-Inputs!$B$9+1)))*Inputs!$B$4*$A$5-$B37</f>
        <v>-8689742.85714285</v>
      </c>
      <c r="D37" s="40" t="n">
        <f aca="false">D36+IF($A37&lt;Inputs!$B$9,0,C$4*Inputs!$B$23*MIN(1,($A37-Inputs!$B$9+1)/(Inputs!$B$10-Inputs!$B$9+1)))*Inputs!$B$4*$A$5-$B37</f>
        <v>-7022771.42857143</v>
      </c>
      <c r="E37" s="40" t="n">
        <f aca="false">E36+IF($A37&lt;Inputs!$B$9,0,D$4*Inputs!$B$23*MIN(1,($A37-Inputs!$B$9+1)/(Inputs!$B$10-Inputs!$B$9+1)))*Inputs!$B$4*$A$5-$B37</f>
        <v>-5355800</v>
      </c>
      <c r="F37" s="40" t="n">
        <f aca="false">F36+IF($A37&lt;Inputs!$B$9,0,E$4*Inputs!$B$23*MIN(1,($A37-Inputs!$B$9+1)/(Inputs!$B$10-Inputs!$B$9+1)))*Inputs!$B$4*$A$5-$B37</f>
        <v>-3688828.57142857</v>
      </c>
      <c r="G37" s="40" t="n">
        <f aca="false">G36+IF($A37&lt;Inputs!$B$9,0,F$4*Inputs!$B$23*MIN(1,($A37-Inputs!$B$9+1)/(Inputs!$B$10-Inputs!$B$9+1)))*Inputs!$B$4*$A$5-$B37</f>
        <v>-2021857.14285714</v>
      </c>
      <c r="H37" s="40" t="n">
        <f aca="false">H36+IF($A37&lt;Inputs!$B$9,0,B$4*Inputs!$B$23*MIN(1,($A37-Inputs!$B$9+1)/(Inputs!$B$10-Inputs!$B$9+1)))*Inputs!$B$4*$A$6-$B37</f>
        <v>-7578428.57142857</v>
      </c>
      <c r="I37" s="40" t="n">
        <f aca="false">I36+IF($A37&lt;Inputs!$B$9,0,C$4*Inputs!$B$23*MIN(1,($A37-Inputs!$B$9+1)/(Inputs!$B$10-Inputs!$B$9+1)))*Inputs!$B$4*$A$6-$B37</f>
        <v>-5494714.28571428</v>
      </c>
      <c r="J37" s="40" t="n">
        <f aca="false">J36+IF($A37&lt;Inputs!$B$9,0,D$4*Inputs!$B$23*MIN(1,($A37-Inputs!$B$9+1)/(Inputs!$B$10-Inputs!$B$9+1)))*Inputs!$B$4*$A$6-$B37</f>
        <v>-3411000</v>
      </c>
      <c r="K37" s="40" t="n">
        <f aca="false">K36+IF($A37&lt;Inputs!$B$9,0,E$4*Inputs!$B$23*MIN(1,($A37-Inputs!$B$9+1)/(Inputs!$B$10-Inputs!$B$9+1)))*Inputs!$B$4*$A$6-$B37</f>
        <v>-1327285.71428571</v>
      </c>
      <c r="L37" s="40" t="n">
        <f aca="false">L36+IF($A37&lt;Inputs!$B$9,0,F$4*Inputs!$B$23*MIN(1,($A37-Inputs!$B$9+1)/(Inputs!$B$10-Inputs!$B$9+1)))*Inputs!$B$4*$A$6-$B37</f>
        <v>756428.571428574</v>
      </c>
      <c r="M37" s="40" t="n">
        <f aca="false">M36+IF($A37&lt;Inputs!$B$9,0,B$4*Inputs!$B$23*MIN(1,($A37-Inputs!$B$9+1)/(Inputs!$B$10-Inputs!$B$9+1)))*Inputs!$B$4*$A$7-$B37</f>
        <v>-6467114.28571428</v>
      </c>
      <c r="N37" s="40" t="n">
        <f aca="false">N36+IF($A37&lt;Inputs!$B$9,0,C$4*Inputs!$B$23*MIN(1,($A37-Inputs!$B$9+1)/(Inputs!$B$10-Inputs!$B$9+1)))*Inputs!$B$4*$A$7-$B37</f>
        <v>-3966657.14285714</v>
      </c>
      <c r="O37" s="40" t="n">
        <f aca="false">O36+IF($A37&lt;Inputs!$B$9,0,D$4*Inputs!$B$23*MIN(1,($A37-Inputs!$B$9+1)/(Inputs!$B$10-Inputs!$B$9+1)))*Inputs!$B$4*$A$7-$B37</f>
        <v>-1466200</v>
      </c>
      <c r="P37" s="40" t="n">
        <f aca="false">P36+IF($A37&lt;Inputs!$B$9,0,E$4*Inputs!$B$23*MIN(1,($A37-Inputs!$B$9+1)/(Inputs!$B$10-Inputs!$B$9+1)))*Inputs!$B$4*$A$7-$B37</f>
        <v>1034257.14285714</v>
      </c>
      <c r="Q37" s="40" t="n">
        <f aca="false">Q36+IF($A37&lt;Inputs!$B$9,0,F$4*Inputs!$B$23*MIN(1,($A37-Inputs!$B$9+1)/(Inputs!$B$10-Inputs!$B$9+1)))*Inputs!$B$4*$A$7-$B37</f>
        <v>3534714.28571429</v>
      </c>
      <c r="R37" s="40" t="n">
        <f aca="false">R36+IF($A37&lt;Inputs!$B$9,0,B$4*Inputs!$B$23*MIN(1,($A37-Inputs!$B$9+1)/(Inputs!$B$10-Inputs!$B$9+1)))*Inputs!$B$4*$A$8-$B37</f>
        <v>-5355800</v>
      </c>
      <c r="S37" s="40" t="n">
        <f aca="false">S36+IF($A37&lt;Inputs!$B$9,0,C$4*Inputs!$B$23*MIN(1,($A37-Inputs!$B$9+1)/(Inputs!$B$10-Inputs!$B$9+1)))*Inputs!$B$4*$A$8-$B37</f>
        <v>-2438600</v>
      </c>
      <c r="T37" s="40" t="n">
        <f aca="false">T36+IF($A37&lt;Inputs!$B$9,0,D$4*Inputs!$B$23*MIN(1,($A37-Inputs!$B$9+1)/(Inputs!$B$10-Inputs!$B$9+1)))*Inputs!$B$4*$A$8-$B37</f>
        <v>478599.999999999</v>
      </c>
      <c r="U37" s="40" t="n">
        <f aca="false">U36+IF($A37&lt;Inputs!$B$9,0,E$4*Inputs!$B$23*MIN(1,($A37-Inputs!$B$9+1)/(Inputs!$B$10-Inputs!$B$9+1)))*Inputs!$B$4*$A$8-$B37</f>
        <v>3395800</v>
      </c>
      <c r="V37" s="40" t="n">
        <f aca="false">V36+IF($A37&lt;Inputs!$B$9,0,F$4*Inputs!$B$23*MIN(1,($A37-Inputs!$B$9+1)/(Inputs!$B$10-Inputs!$B$9+1)))*Inputs!$B$4*$A$8-$B37</f>
        <v>6313000</v>
      </c>
    </row>
    <row r="38" customFormat="false" ht="15" hidden="false" customHeight="true" outlineLevel="0" collapsed="false">
      <c r="A38" s="14" t="n">
        <v>26</v>
      </c>
      <c r="B38" s="43" t="n">
        <f aca="false">Cashflow!B30</f>
        <v>395000</v>
      </c>
      <c r="C38" s="40" t="n">
        <f aca="false">C37+IF($A38&lt;Inputs!$B$9,0,B$4*Inputs!$B$23*MIN(1,($A38-Inputs!$B$9+1)/(Inputs!$B$10-Inputs!$B$9+1)))*Inputs!$B$4*$A$5-$B38</f>
        <v>-8714304.76190476</v>
      </c>
      <c r="D38" s="40" t="n">
        <f aca="false">D37+IF($A38&lt;Inputs!$B$9,0,C$4*Inputs!$B$23*MIN(1,($A38-Inputs!$B$9+1)/(Inputs!$B$10-Inputs!$B$9+1)))*Inputs!$B$4*$A$5-$B38</f>
        <v>-6908419.04761905</v>
      </c>
      <c r="E38" s="40" t="n">
        <f aca="false">E37+IF($A38&lt;Inputs!$B$9,0,D$4*Inputs!$B$23*MIN(1,($A38-Inputs!$B$9+1)/(Inputs!$B$10-Inputs!$B$9+1)))*Inputs!$B$4*$A$5-$B38</f>
        <v>-5102533.33333333</v>
      </c>
      <c r="F38" s="40" t="n">
        <f aca="false">F37+IF($A38&lt;Inputs!$B$9,0,E$4*Inputs!$B$23*MIN(1,($A38-Inputs!$B$9+1)/(Inputs!$B$10-Inputs!$B$9+1)))*Inputs!$B$4*$A$5-$B38</f>
        <v>-3296647.61904762</v>
      </c>
      <c r="G38" s="40" t="n">
        <f aca="false">G37+IF($A38&lt;Inputs!$B$9,0,F$4*Inputs!$B$23*MIN(1,($A38-Inputs!$B$9+1)/(Inputs!$B$10-Inputs!$B$9+1)))*Inputs!$B$4*$A$5-$B38</f>
        <v>-1490761.9047619</v>
      </c>
      <c r="H38" s="40" t="n">
        <f aca="false">H37+IF($A38&lt;Inputs!$B$9,0,B$4*Inputs!$B$23*MIN(1,($A38-Inputs!$B$9+1)/(Inputs!$B$10-Inputs!$B$9+1)))*Inputs!$B$4*$A$6-$B38</f>
        <v>-7510380.95238095</v>
      </c>
      <c r="I38" s="40" t="n">
        <f aca="false">I37+IF($A38&lt;Inputs!$B$9,0,C$4*Inputs!$B$23*MIN(1,($A38-Inputs!$B$9+1)/(Inputs!$B$10-Inputs!$B$9+1)))*Inputs!$B$4*$A$6-$B38</f>
        <v>-5253023.80952381</v>
      </c>
      <c r="J38" s="40" t="n">
        <f aca="false">J37+IF($A38&lt;Inputs!$B$9,0,D$4*Inputs!$B$23*MIN(1,($A38-Inputs!$B$9+1)/(Inputs!$B$10-Inputs!$B$9+1)))*Inputs!$B$4*$A$6-$B38</f>
        <v>-2995666.66666667</v>
      </c>
      <c r="K38" s="40" t="n">
        <f aca="false">K37+IF($A38&lt;Inputs!$B$9,0,E$4*Inputs!$B$23*MIN(1,($A38-Inputs!$B$9+1)/(Inputs!$B$10-Inputs!$B$9+1)))*Inputs!$B$4*$A$6-$B38</f>
        <v>-738309.523809522</v>
      </c>
      <c r="L38" s="40" t="n">
        <f aca="false">L37+IF($A38&lt;Inputs!$B$9,0,F$4*Inputs!$B$23*MIN(1,($A38-Inputs!$B$9+1)/(Inputs!$B$10-Inputs!$B$9+1)))*Inputs!$B$4*$A$6-$B38</f>
        <v>1519047.61904762</v>
      </c>
      <c r="M38" s="40" t="n">
        <f aca="false">M37+IF($A38&lt;Inputs!$B$9,0,B$4*Inputs!$B$23*MIN(1,($A38-Inputs!$B$9+1)/(Inputs!$B$10-Inputs!$B$9+1)))*Inputs!$B$4*$A$7-$B38</f>
        <v>-6306457.14285714</v>
      </c>
      <c r="N38" s="40" t="n">
        <f aca="false">N37+IF($A38&lt;Inputs!$B$9,0,C$4*Inputs!$B$23*MIN(1,($A38-Inputs!$B$9+1)/(Inputs!$B$10-Inputs!$B$9+1)))*Inputs!$B$4*$A$7-$B38</f>
        <v>-3597628.57142857</v>
      </c>
      <c r="O38" s="40" t="n">
        <f aca="false">O37+IF($A38&lt;Inputs!$B$9,0,D$4*Inputs!$B$23*MIN(1,($A38-Inputs!$B$9+1)/(Inputs!$B$10-Inputs!$B$9+1)))*Inputs!$B$4*$A$7-$B38</f>
        <v>-888799.999999997</v>
      </c>
      <c r="P38" s="40" t="n">
        <f aca="false">P37+IF($A38&lt;Inputs!$B$9,0,E$4*Inputs!$B$23*MIN(1,($A38-Inputs!$B$9+1)/(Inputs!$B$10-Inputs!$B$9+1)))*Inputs!$B$4*$A$7-$B38</f>
        <v>1820028.57142857</v>
      </c>
      <c r="Q38" s="40" t="n">
        <f aca="false">Q37+IF($A38&lt;Inputs!$B$9,0,F$4*Inputs!$B$23*MIN(1,($A38-Inputs!$B$9+1)/(Inputs!$B$10-Inputs!$B$9+1)))*Inputs!$B$4*$A$7-$B38</f>
        <v>4528857.14285715</v>
      </c>
      <c r="R38" s="40" t="n">
        <f aca="false">R37+IF($A38&lt;Inputs!$B$9,0,B$4*Inputs!$B$23*MIN(1,($A38-Inputs!$B$9+1)/(Inputs!$B$10-Inputs!$B$9+1)))*Inputs!$B$4*$A$8-$B38</f>
        <v>-5102533.33333333</v>
      </c>
      <c r="S38" s="40" t="n">
        <f aca="false">S37+IF($A38&lt;Inputs!$B$9,0,C$4*Inputs!$B$23*MIN(1,($A38-Inputs!$B$9+1)/(Inputs!$B$10-Inputs!$B$9+1)))*Inputs!$B$4*$A$8-$B38</f>
        <v>-1942233.33333334</v>
      </c>
      <c r="T38" s="40" t="n">
        <f aca="false">T37+IF($A38&lt;Inputs!$B$9,0,D$4*Inputs!$B$23*MIN(1,($A38-Inputs!$B$9+1)/(Inputs!$B$10-Inputs!$B$9+1)))*Inputs!$B$4*$A$8-$B38</f>
        <v>1218066.66666667</v>
      </c>
      <c r="U38" s="40" t="n">
        <f aca="false">U37+IF($A38&lt;Inputs!$B$9,0,E$4*Inputs!$B$23*MIN(1,($A38-Inputs!$B$9+1)/(Inputs!$B$10-Inputs!$B$9+1)))*Inputs!$B$4*$A$8-$B38</f>
        <v>4378366.66666667</v>
      </c>
      <c r="V38" s="40" t="n">
        <f aca="false">V37+IF($A38&lt;Inputs!$B$9,0,F$4*Inputs!$B$23*MIN(1,($A38-Inputs!$B$9+1)/(Inputs!$B$10-Inputs!$B$9+1)))*Inputs!$B$4*$A$8-$B38</f>
        <v>7538666.66666667</v>
      </c>
    </row>
    <row r="39" customFormat="false" ht="15" hidden="false" customHeight="true" outlineLevel="0" collapsed="false">
      <c r="A39" s="14" t="n">
        <v>27</v>
      </c>
      <c r="B39" s="43" t="n">
        <f aca="false">Cashflow!B31</f>
        <v>395000</v>
      </c>
      <c r="C39" s="40" t="n">
        <f aca="false">C38+IF($A39&lt;Inputs!$B$9,0,B$4*Inputs!$B$23*MIN(1,($A39-Inputs!$B$9+1)/(Inputs!$B$10-Inputs!$B$9+1)))*Inputs!$B$4*$A$5-$B39</f>
        <v>-8738866.66666666</v>
      </c>
      <c r="D39" s="40" t="n">
        <f aca="false">D38+IF($A39&lt;Inputs!$B$9,0,C$4*Inputs!$B$23*MIN(1,($A39-Inputs!$B$9+1)/(Inputs!$B$10-Inputs!$B$9+1)))*Inputs!$B$4*$A$5-$B39</f>
        <v>-6794066.66666666</v>
      </c>
      <c r="E39" s="40" t="n">
        <f aca="false">E38+IF($A39&lt;Inputs!$B$9,0,D$4*Inputs!$B$23*MIN(1,($A39-Inputs!$B$9+1)/(Inputs!$B$10-Inputs!$B$9+1)))*Inputs!$B$4*$A$5-$B39</f>
        <v>-4849266.66666666</v>
      </c>
      <c r="F39" s="40" t="n">
        <f aca="false">F38+IF($A39&lt;Inputs!$B$9,0,E$4*Inputs!$B$23*MIN(1,($A39-Inputs!$B$9+1)/(Inputs!$B$10-Inputs!$B$9+1)))*Inputs!$B$4*$A$5-$B39</f>
        <v>-2904466.66666667</v>
      </c>
      <c r="G39" s="40" t="n">
        <f aca="false">G38+IF($A39&lt;Inputs!$B$9,0,F$4*Inputs!$B$23*MIN(1,($A39-Inputs!$B$9+1)/(Inputs!$B$10-Inputs!$B$9+1)))*Inputs!$B$4*$A$5-$B39</f>
        <v>-959666.666666664</v>
      </c>
      <c r="H39" s="40" t="n">
        <f aca="false">H38+IF($A39&lt;Inputs!$B$9,0,B$4*Inputs!$B$23*MIN(1,($A39-Inputs!$B$9+1)/(Inputs!$B$10-Inputs!$B$9+1)))*Inputs!$B$4*$A$6-$B39</f>
        <v>-7442333.33333333</v>
      </c>
      <c r="I39" s="40" t="n">
        <f aca="false">I38+IF($A39&lt;Inputs!$B$9,0,C$4*Inputs!$B$23*MIN(1,($A39-Inputs!$B$9+1)/(Inputs!$B$10-Inputs!$B$9+1)))*Inputs!$B$4*$A$6-$B39</f>
        <v>-5011333.33333333</v>
      </c>
      <c r="J39" s="40" t="n">
        <f aca="false">J38+IF($A39&lt;Inputs!$B$9,0,D$4*Inputs!$B$23*MIN(1,($A39-Inputs!$B$9+1)/(Inputs!$B$10-Inputs!$B$9+1)))*Inputs!$B$4*$A$6-$B39</f>
        <v>-2580333.33333333</v>
      </c>
      <c r="K39" s="40" t="n">
        <f aca="false">K38+IF($A39&lt;Inputs!$B$9,0,E$4*Inputs!$B$23*MIN(1,($A39-Inputs!$B$9+1)/(Inputs!$B$10-Inputs!$B$9+1)))*Inputs!$B$4*$A$6-$B39</f>
        <v>-149333.333333332</v>
      </c>
      <c r="L39" s="40" t="n">
        <f aca="false">L38+IF($A39&lt;Inputs!$B$9,0,F$4*Inputs!$B$23*MIN(1,($A39-Inputs!$B$9+1)/(Inputs!$B$10-Inputs!$B$9+1)))*Inputs!$B$4*$A$6-$B39</f>
        <v>2281666.66666667</v>
      </c>
      <c r="M39" s="40" t="n">
        <f aca="false">M38+IF($A39&lt;Inputs!$B$9,0,B$4*Inputs!$B$23*MIN(1,($A39-Inputs!$B$9+1)/(Inputs!$B$10-Inputs!$B$9+1)))*Inputs!$B$4*$A$7-$B39</f>
        <v>-6145800</v>
      </c>
      <c r="N39" s="40" t="n">
        <f aca="false">N38+IF($A39&lt;Inputs!$B$9,0,C$4*Inputs!$B$23*MIN(1,($A39-Inputs!$B$9+1)/(Inputs!$B$10-Inputs!$B$9+1)))*Inputs!$B$4*$A$7-$B39</f>
        <v>-3228600</v>
      </c>
      <c r="O39" s="40" t="n">
        <f aca="false">O38+IF($A39&lt;Inputs!$B$9,0,D$4*Inputs!$B$23*MIN(1,($A39-Inputs!$B$9+1)/(Inputs!$B$10-Inputs!$B$9+1)))*Inputs!$B$4*$A$7-$B39</f>
        <v>-311399.999999997</v>
      </c>
      <c r="P39" s="40" t="n">
        <f aca="false">P38+IF($A39&lt;Inputs!$B$9,0,E$4*Inputs!$B$23*MIN(1,($A39-Inputs!$B$9+1)/(Inputs!$B$10-Inputs!$B$9+1)))*Inputs!$B$4*$A$7-$B39</f>
        <v>2605800</v>
      </c>
      <c r="Q39" s="40" t="n">
        <f aca="false">Q38+IF($A39&lt;Inputs!$B$9,0,F$4*Inputs!$B$23*MIN(1,($A39-Inputs!$B$9+1)/(Inputs!$B$10-Inputs!$B$9+1)))*Inputs!$B$4*$A$7-$B39</f>
        <v>5523000.00000001</v>
      </c>
      <c r="R39" s="40" t="n">
        <f aca="false">R38+IF($A39&lt;Inputs!$B$9,0,B$4*Inputs!$B$23*MIN(1,($A39-Inputs!$B$9+1)/(Inputs!$B$10-Inputs!$B$9+1)))*Inputs!$B$4*$A$8-$B39</f>
        <v>-4849266.66666666</v>
      </c>
      <c r="S39" s="40" t="n">
        <f aca="false">S38+IF($A39&lt;Inputs!$B$9,0,C$4*Inputs!$B$23*MIN(1,($A39-Inputs!$B$9+1)/(Inputs!$B$10-Inputs!$B$9+1)))*Inputs!$B$4*$A$8-$B39</f>
        <v>-1445866.66666667</v>
      </c>
      <c r="T39" s="40" t="n">
        <f aca="false">T38+IF($A39&lt;Inputs!$B$9,0,D$4*Inputs!$B$23*MIN(1,($A39-Inputs!$B$9+1)/(Inputs!$B$10-Inputs!$B$9+1)))*Inputs!$B$4*$A$8-$B39</f>
        <v>1957533.33333333</v>
      </c>
      <c r="U39" s="40" t="n">
        <f aca="false">U38+IF($A39&lt;Inputs!$B$9,0,E$4*Inputs!$B$23*MIN(1,($A39-Inputs!$B$9+1)/(Inputs!$B$10-Inputs!$B$9+1)))*Inputs!$B$4*$A$8-$B39</f>
        <v>5360933.33333333</v>
      </c>
      <c r="V39" s="40" t="n">
        <f aca="false">V38+IF($A39&lt;Inputs!$B$9,0,F$4*Inputs!$B$23*MIN(1,($A39-Inputs!$B$9+1)/(Inputs!$B$10-Inputs!$B$9+1)))*Inputs!$B$4*$A$8-$B39</f>
        <v>8764333.33333333</v>
      </c>
    </row>
    <row r="40" customFormat="false" ht="15" hidden="false" customHeight="true" outlineLevel="0" collapsed="false">
      <c r="A40" s="14" t="n">
        <v>28</v>
      </c>
      <c r="B40" s="43" t="n">
        <f aca="false">Cashflow!B32</f>
        <v>395000</v>
      </c>
      <c r="C40" s="40" t="n">
        <f aca="false">C39+IF($A40&lt;Inputs!$B$9,0,B$4*Inputs!$B$23*MIN(1,($A40-Inputs!$B$9+1)/(Inputs!$B$10-Inputs!$B$9+1)))*Inputs!$B$4*$A$5-$B40</f>
        <v>-8763428.57142857</v>
      </c>
      <c r="D40" s="40" t="n">
        <f aca="false">D39+IF($A40&lt;Inputs!$B$9,0,C$4*Inputs!$B$23*MIN(1,($A40-Inputs!$B$9+1)/(Inputs!$B$10-Inputs!$B$9+1)))*Inputs!$B$4*$A$5-$B40</f>
        <v>-6679714.28571428</v>
      </c>
      <c r="E40" s="40" t="n">
        <f aca="false">E39+IF($A40&lt;Inputs!$B$9,0,D$4*Inputs!$B$23*MIN(1,($A40-Inputs!$B$9+1)/(Inputs!$B$10-Inputs!$B$9+1)))*Inputs!$B$4*$A$5-$B40</f>
        <v>-4596000</v>
      </c>
      <c r="F40" s="40" t="n">
        <f aca="false">F39+IF($A40&lt;Inputs!$B$9,0,E$4*Inputs!$B$23*MIN(1,($A40-Inputs!$B$9+1)/(Inputs!$B$10-Inputs!$B$9+1)))*Inputs!$B$4*$A$5-$B40</f>
        <v>-2512285.71428571</v>
      </c>
      <c r="G40" s="40" t="n">
        <f aca="false">G39+IF($A40&lt;Inputs!$B$9,0,F$4*Inputs!$B$23*MIN(1,($A40-Inputs!$B$9+1)/(Inputs!$B$10-Inputs!$B$9+1)))*Inputs!$B$4*$A$5-$B40</f>
        <v>-428571.428571425</v>
      </c>
      <c r="H40" s="40" t="n">
        <f aca="false">H39+IF($A40&lt;Inputs!$B$9,0,B$4*Inputs!$B$23*MIN(1,($A40-Inputs!$B$9+1)/(Inputs!$B$10-Inputs!$B$9+1)))*Inputs!$B$4*$A$6-$B40</f>
        <v>-7374285.71428571</v>
      </c>
      <c r="I40" s="40" t="n">
        <f aca="false">I39+IF($A40&lt;Inputs!$B$9,0,C$4*Inputs!$B$23*MIN(1,($A40-Inputs!$B$9+1)/(Inputs!$B$10-Inputs!$B$9+1)))*Inputs!$B$4*$A$6-$B40</f>
        <v>-4769642.85714286</v>
      </c>
      <c r="J40" s="40" t="n">
        <f aca="false">J39+IF($A40&lt;Inputs!$B$9,0,D$4*Inputs!$B$23*MIN(1,($A40-Inputs!$B$9+1)/(Inputs!$B$10-Inputs!$B$9+1)))*Inputs!$B$4*$A$6-$B40</f>
        <v>-2165000</v>
      </c>
      <c r="K40" s="40" t="n">
        <f aca="false">K39+IF($A40&lt;Inputs!$B$9,0,E$4*Inputs!$B$23*MIN(1,($A40-Inputs!$B$9+1)/(Inputs!$B$10-Inputs!$B$9+1)))*Inputs!$B$4*$A$6-$B40</f>
        <v>439642.857142859</v>
      </c>
      <c r="L40" s="40" t="n">
        <f aca="false">L39+IF($A40&lt;Inputs!$B$9,0,F$4*Inputs!$B$23*MIN(1,($A40-Inputs!$B$9+1)/(Inputs!$B$10-Inputs!$B$9+1)))*Inputs!$B$4*$A$6-$B40</f>
        <v>3044285.71428572</v>
      </c>
      <c r="M40" s="40" t="n">
        <f aca="false">M39+IF($A40&lt;Inputs!$B$9,0,B$4*Inputs!$B$23*MIN(1,($A40-Inputs!$B$9+1)/(Inputs!$B$10-Inputs!$B$9+1)))*Inputs!$B$4*$A$7-$B40</f>
        <v>-5985142.85714286</v>
      </c>
      <c r="N40" s="40" t="n">
        <f aca="false">N39+IF($A40&lt;Inputs!$B$9,0,C$4*Inputs!$B$23*MIN(1,($A40-Inputs!$B$9+1)/(Inputs!$B$10-Inputs!$B$9+1)))*Inputs!$B$4*$A$7-$B40</f>
        <v>-2859571.42857143</v>
      </c>
      <c r="O40" s="40" t="n">
        <f aca="false">O39+IF($A40&lt;Inputs!$B$9,0,D$4*Inputs!$B$23*MIN(1,($A40-Inputs!$B$9+1)/(Inputs!$B$10-Inputs!$B$9+1)))*Inputs!$B$4*$A$7-$B40</f>
        <v>266000.000000002</v>
      </c>
      <c r="P40" s="40" t="n">
        <f aca="false">P39+IF($A40&lt;Inputs!$B$9,0,E$4*Inputs!$B$23*MIN(1,($A40-Inputs!$B$9+1)/(Inputs!$B$10-Inputs!$B$9+1)))*Inputs!$B$4*$A$7-$B40</f>
        <v>3391571.42857143</v>
      </c>
      <c r="Q40" s="40" t="n">
        <f aca="false">Q39+IF($A40&lt;Inputs!$B$9,0,F$4*Inputs!$B$23*MIN(1,($A40-Inputs!$B$9+1)/(Inputs!$B$10-Inputs!$B$9+1)))*Inputs!$B$4*$A$7-$B40</f>
        <v>6517142.85714286</v>
      </c>
      <c r="R40" s="40" t="n">
        <f aca="false">R39+IF($A40&lt;Inputs!$B$9,0,B$4*Inputs!$B$23*MIN(1,($A40-Inputs!$B$9+1)/(Inputs!$B$10-Inputs!$B$9+1)))*Inputs!$B$4*$A$8-$B40</f>
        <v>-4596000</v>
      </c>
      <c r="S40" s="40" t="n">
        <f aca="false">S39+IF($A40&lt;Inputs!$B$9,0,C$4*Inputs!$B$23*MIN(1,($A40-Inputs!$B$9+1)/(Inputs!$B$10-Inputs!$B$9+1)))*Inputs!$B$4*$A$8-$B40</f>
        <v>-949500.000000002</v>
      </c>
      <c r="T40" s="40" t="n">
        <f aca="false">T39+IF($A40&lt;Inputs!$B$9,0,D$4*Inputs!$B$23*MIN(1,($A40-Inputs!$B$9+1)/(Inputs!$B$10-Inputs!$B$9+1)))*Inputs!$B$4*$A$8-$B40</f>
        <v>2697000</v>
      </c>
      <c r="U40" s="40" t="n">
        <f aca="false">U39+IF($A40&lt;Inputs!$B$9,0,E$4*Inputs!$B$23*MIN(1,($A40-Inputs!$B$9+1)/(Inputs!$B$10-Inputs!$B$9+1)))*Inputs!$B$4*$A$8-$B40</f>
        <v>6343500</v>
      </c>
      <c r="V40" s="40" t="n">
        <f aca="false">V39+IF($A40&lt;Inputs!$B$9,0,F$4*Inputs!$B$23*MIN(1,($A40-Inputs!$B$9+1)/(Inputs!$B$10-Inputs!$B$9+1)))*Inputs!$B$4*$A$8-$B40</f>
        <v>9990000</v>
      </c>
    </row>
    <row r="41" customFormat="false" ht="15" hidden="false" customHeight="true" outlineLevel="0" collapsed="false">
      <c r="A41" s="14" t="n">
        <v>29</v>
      </c>
      <c r="B41" s="43" t="n">
        <f aca="false">Cashflow!B33</f>
        <v>395000</v>
      </c>
      <c r="C41" s="40" t="n">
        <f aca="false">C40+IF($A41&lt;Inputs!$B$9,0,B$4*Inputs!$B$23*MIN(1,($A41-Inputs!$B$9+1)/(Inputs!$B$10-Inputs!$B$9+1)))*Inputs!$B$4*$A$5-$B41</f>
        <v>-8787990.47619047</v>
      </c>
      <c r="D41" s="40" t="n">
        <f aca="false">D40+IF($A41&lt;Inputs!$B$9,0,C$4*Inputs!$B$23*MIN(1,($A41-Inputs!$B$9+1)/(Inputs!$B$10-Inputs!$B$9+1)))*Inputs!$B$4*$A$5-$B41</f>
        <v>-6565361.9047619</v>
      </c>
      <c r="E41" s="40" t="n">
        <f aca="false">E40+IF($A41&lt;Inputs!$B$9,0,D$4*Inputs!$B$23*MIN(1,($A41-Inputs!$B$9+1)/(Inputs!$B$10-Inputs!$B$9+1)))*Inputs!$B$4*$A$5-$B41</f>
        <v>-4342733.33333333</v>
      </c>
      <c r="F41" s="40" t="n">
        <f aca="false">F40+IF($A41&lt;Inputs!$B$9,0,E$4*Inputs!$B$23*MIN(1,($A41-Inputs!$B$9+1)/(Inputs!$B$10-Inputs!$B$9+1)))*Inputs!$B$4*$A$5-$B41</f>
        <v>-2120104.76190476</v>
      </c>
      <c r="G41" s="40" t="n">
        <f aca="false">G40+IF($A41&lt;Inputs!$B$9,0,F$4*Inputs!$B$23*MIN(1,($A41-Inputs!$B$9+1)/(Inputs!$B$10-Inputs!$B$9+1)))*Inputs!$B$4*$A$5-$B41</f>
        <v>102523.809523813</v>
      </c>
      <c r="H41" s="40" t="n">
        <f aca="false">H40+IF($A41&lt;Inputs!$B$9,0,B$4*Inputs!$B$23*MIN(1,($A41-Inputs!$B$9+1)/(Inputs!$B$10-Inputs!$B$9+1)))*Inputs!$B$4*$A$6-$B41</f>
        <v>-7306238.09523809</v>
      </c>
      <c r="I41" s="40" t="n">
        <f aca="false">I40+IF($A41&lt;Inputs!$B$9,0,C$4*Inputs!$B$23*MIN(1,($A41-Inputs!$B$9+1)/(Inputs!$B$10-Inputs!$B$9+1)))*Inputs!$B$4*$A$6-$B41</f>
        <v>-4527952.38095238</v>
      </c>
      <c r="J41" s="40" t="n">
        <f aca="false">J40+IF($A41&lt;Inputs!$B$9,0,D$4*Inputs!$B$23*MIN(1,($A41-Inputs!$B$9+1)/(Inputs!$B$10-Inputs!$B$9+1)))*Inputs!$B$4*$A$6-$B41</f>
        <v>-1749666.66666667</v>
      </c>
      <c r="K41" s="40" t="n">
        <f aca="false">K40+IF($A41&lt;Inputs!$B$9,0,E$4*Inputs!$B$23*MIN(1,($A41-Inputs!$B$9+1)/(Inputs!$B$10-Inputs!$B$9+1)))*Inputs!$B$4*$A$6-$B41</f>
        <v>1028619.04761905</v>
      </c>
      <c r="L41" s="40" t="n">
        <f aca="false">L40+IF($A41&lt;Inputs!$B$9,0,F$4*Inputs!$B$23*MIN(1,($A41-Inputs!$B$9+1)/(Inputs!$B$10-Inputs!$B$9+1)))*Inputs!$B$4*$A$6-$B41</f>
        <v>3806904.76190477</v>
      </c>
      <c r="M41" s="40" t="n">
        <f aca="false">M40+IF($A41&lt;Inputs!$B$9,0,B$4*Inputs!$B$23*MIN(1,($A41-Inputs!$B$9+1)/(Inputs!$B$10-Inputs!$B$9+1)))*Inputs!$B$4*$A$7-$B41</f>
        <v>-5824485.71428571</v>
      </c>
      <c r="N41" s="40" t="n">
        <f aca="false">N40+IF($A41&lt;Inputs!$B$9,0,C$4*Inputs!$B$23*MIN(1,($A41-Inputs!$B$9+1)/(Inputs!$B$10-Inputs!$B$9+1)))*Inputs!$B$4*$A$7-$B41</f>
        <v>-2490542.85714285</v>
      </c>
      <c r="O41" s="40" t="n">
        <f aca="false">O40+IF($A41&lt;Inputs!$B$9,0,D$4*Inputs!$B$23*MIN(1,($A41-Inputs!$B$9+1)/(Inputs!$B$10-Inputs!$B$9+1)))*Inputs!$B$4*$A$7-$B41</f>
        <v>843400.000000002</v>
      </c>
      <c r="P41" s="40" t="n">
        <f aca="false">P40+IF($A41&lt;Inputs!$B$9,0,E$4*Inputs!$B$23*MIN(1,($A41-Inputs!$B$9+1)/(Inputs!$B$10-Inputs!$B$9+1)))*Inputs!$B$4*$A$7-$B41</f>
        <v>4177342.85714286</v>
      </c>
      <c r="Q41" s="40" t="n">
        <f aca="false">Q40+IF($A41&lt;Inputs!$B$9,0,F$4*Inputs!$B$23*MIN(1,($A41-Inputs!$B$9+1)/(Inputs!$B$10-Inputs!$B$9+1)))*Inputs!$B$4*$A$7-$B41</f>
        <v>7511285.71428572</v>
      </c>
      <c r="R41" s="40" t="n">
        <f aca="false">R40+IF($A41&lt;Inputs!$B$9,0,B$4*Inputs!$B$23*MIN(1,($A41-Inputs!$B$9+1)/(Inputs!$B$10-Inputs!$B$9+1)))*Inputs!$B$4*$A$8-$B41</f>
        <v>-4342733.33333333</v>
      </c>
      <c r="S41" s="40" t="n">
        <f aca="false">S40+IF($A41&lt;Inputs!$B$9,0,C$4*Inputs!$B$23*MIN(1,($A41-Inputs!$B$9+1)/(Inputs!$B$10-Inputs!$B$9+1)))*Inputs!$B$4*$A$8-$B41</f>
        <v>-453133.333333335</v>
      </c>
      <c r="T41" s="40" t="n">
        <f aca="false">T40+IF($A41&lt;Inputs!$B$9,0,D$4*Inputs!$B$23*MIN(1,($A41-Inputs!$B$9+1)/(Inputs!$B$10-Inputs!$B$9+1)))*Inputs!$B$4*$A$8-$B41</f>
        <v>3436466.66666667</v>
      </c>
      <c r="U41" s="40" t="n">
        <f aca="false">U40+IF($A41&lt;Inputs!$B$9,0,E$4*Inputs!$B$23*MIN(1,($A41-Inputs!$B$9+1)/(Inputs!$B$10-Inputs!$B$9+1)))*Inputs!$B$4*$A$8-$B41</f>
        <v>7326066.66666667</v>
      </c>
      <c r="V41" s="40" t="n">
        <f aca="false">V40+IF($A41&lt;Inputs!$B$9,0,F$4*Inputs!$B$23*MIN(1,($A41-Inputs!$B$9+1)/(Inputs!$B$10-Inputs!$B$9+1)))*Inputs!$B$4*$A$8-$B41</f>
        <v>11215666.6666667</v>
      </c>
    </row>
    <row r="42" customFormat="false" ht="15" hidden="false" customHeight="true" outlineLevel="0" collapsed="false">
      <c r="A42" s="14" t="n">
        <v>30</v>
      </c>
      <c r="B42" s="43" t="n">
        <f aca="false">Cashflow!B34</f>
        <v>395000</v>
      </c>
      <c r="C42" s="40" t="n">
        <f aca="false">C41+IF($A42&lt;Inputs!$B$9,0,B$4*Inputs!$B$23*MIN(1,($A42-Inputs!$B$9+1)/(Inputs!$B$10-Inputs!$B$9+1)))*Inputs!$B$4*$A$5-$B42</f>
        <v>-8812552.38095238</v>
      </c>
      <c r="D42" s="40" t="n">
        <f aca="false">D41+IF($A42&lt;Inputs!$B$9,0,C$4*Inputs!$B$23*MIN(1,($A42-Inputs!$B$9+1)/(Inputs!$B$10-Inputs!$B$9+1)))*Inputs!$B$4*$A$5-$B42</f>
        <v>-6451009.52380952</v>
      </c>
      <c r="E42" s="40" t="n">
        <f aca="false">E41+IF($A42&lt;Inputs!$B$9,0,D$4*Inputs!$B$23*MIN(1,($A42-Inputs!$B$9+1)/(Inputs!$B$10-Inputs!$B$9+1)))*Inputs!$B$4*$A$5-$B42</f>
        <v>-4089466.66666666</v>
      </c>
      <c r="F42" s="40" t="n">
        <f aca="false">F41+IF($A42&lt;Inputs!$B$9,0,E$4*Inputs!$B$23*MIN(1,($A42-Inputs!$B$9+1)/(Inputs!$B$10-Inputs!$B$9+1)))*Inputs!$B$4*$A$5-$B42</f>
        <v>-1727923.80952381</v>
      </c>
      <c r="G42" s="40" t="n">
        <f aca="false">G41+IF($A42&lt;Inputs!$B$9,0,F$4*Inputs!$B$23*MIN(1,($A42-Inputs!$B$9+1)/(Inputs!$B$10-Inputs!$B$9+1)))*Inputs!$B$4*$A$5-$B42</f>
        <v>633619.047619051</v>
      </c>
      <c r="H42" s="40" t="n">
        <f aca="false">H41+IF($A42&lt;Inputs!$B$9,0,B$4*Inputs!$B$23*MIN(1,($A42-Inputs!$B$9+1)/(Inputs!$B$10-Inputs!$B$9+1)))*Inputs!$B$4*$A$6-$B42</f>
        <v>-7238190.47619047</v>
      </c>
      <c r="I42" s="40" t="n">
        <f aca="false">I41+IF($A42&lt;Inputs!$B$9,0,C$4*Inputs!$B$23*MIN(1,($A42-Inputs!$B$9+1)/(Inputs!$B$10-Inputs!$B$9+1)))*Inputs!$B$4*$A$6-$B42</f>
        <v>-4286261.90476191</v>
      </c>
      <c r="J42" s="40" t="n">
        <f aca="false">J41+IF($A42&lt;Inputs!$B$9,0,D$4*Inputs!$B$23*MIN(1,($A42-Inputs!$B$9+1)/(Inputs!$B$10-Inputs!$B$9+1)))*Inputs!$B$4*$A$6-$B42</f>
        <v>-1334333.33333333</v>
      </c>
      <c r="K42" s="40" t="n">
        <f aca="false">K41+IF($A42&lt;Inputs!$B$9,0,E$4*Inputs!$B$23*MIN(1,($A42-Inputs!$B$9+1)/(Inputs!$B$10-Inputs!$B$9+1)))*Inputs!$B$4*$A$6-$B42</f>
        <v>1617595.23809524</v>
      </c>
      <c r="L42" s="40" t="n">
        <f aca="false">L41+IF($A42&lt;Inputs!$B$9,0,F$4*Inputs!$B$23*MIN(1,($A42-Inputs!$B$9+1)/(Inputs!$B$10-Inputs!$B$9+1)))*Inputs!$B$4*$A$6-$B42</f>
        <v>4569523.80952381</v>
      </c>
      <c r="M42" s="40" t="n">
        <f aca="false">M41+IF($A42&lt;Inputs!$B$9,0,B$4*Inputs!$B$23*MIN(1,($A42-Inputs!$B$9+1)/(Inputs!$B$10-Inputs!$B$9+1)))*Inputs!$B$4*$A$7-$B42</f>
        <v>-5663828.57142857</v>
      </c>
      <c r="N42" s="40" t="n">
        <f aca="false">N41+IF($A42&lt;Inputs!$B$9,0,C$4*Inputs!$B$23*MIN(1,($A42-Inputs!$B$9+1)/(Inputs!$B$10-Inputs!$B$9+1)))*Inputs!$B$4*$A$7-$B42</f>
        <v>-2121514.28571428</v>
      </c>
      <c r="O42" s="40" t="n">
        <f aca="false">O41+IF($A42&lt;Inputs!$B$9,0,D$4*Inputs!$B$23*MIN(1,($A42-Inputs!$B$9+1)/(Inputs!$B$10-Inputs!$B$9+1)))*Inputs!$B$4*$A$7-$B42</f>
        <v>1420800</v>
      </c>
      <c r="P42" s="40" t="n">
        <f aca="false">P41+IF($A42&lt;Inputs!$B$9,0,E$4*Inputs!$B$23*MIN(1,($A42-Inputs!$B$9+1)/(Inputs!$B$10-Inputs!$B$9+1)))*Inputs!$B$4*$A$7-$B42</f>
        <v>4963114.28571429</v>
      </c>
      <c r="Q42" s="40" t="n">
        <f aca="false">Q41+IF($A42&lt;Inputs!$B$9,0,F$4*Inputs!$B$23*MIN(1,($A42-Inputs!$B$9+1)/(Inputs!$B$10-Inputs!$B$9+1)))*Inputs!$B$4*$A$7-$B42</f>
        <v>8505428.57142858</v>
      </c>
      <c r="R42" s="40" t="n">
        <f aca="false">R41+IF($A42&lt;Inputs!$B$9,0,B$4*Inputs!$B$23*MIN(1,($A42-Inputs!$B$9+1)/(Inputs!$B$10-Inputs!$B$9+1)))*Inputs!$B$4*$A$8-$B42</f>
        <v>-4089466.66666666</v>
      </c>
      <c r="S42" s="40" t="n">
        <f aca="false">S41+IF($A42&lt;Inputs!$B$9,0,C$4*Inputs!$B$23*MIN(1,($A42-Inputs!$B$9+1)/(Inputs!$B$10-Inputs!$B$9+1)))*Inputs!$B$4*$A$8-$B42</f>
        <v>43233.3333333315</v>
      </c>
      <c r="T42" s="40" t="n">
        <f aca="false">T41+IF($A42&lt;Inputs!$B$9,0,D$4*Inputs!$B$23*MIN(1,($A42-Inputs!$B$9+1)/(Inputs!$B$10-Inputs!$B$9+1)))*Inputs!$B$4*$A$8-$B42</f>
        <v>4175933.33333333</v>
      </c>
      <c r="U42" s="40" t="n">
        <f aca="false">U41+IF($A42&lt;Inputs!$B$9,0,E$4*Inputs!$B$23*MIN(1,($A42-Inputs!$B$9+1)/(Inputs!$B$10-Inputs!$B$9+1)))*Inputs!$B$4*$A$8-$B42</f>
        <v>8308633.33333333</v>
      </c>
      <c r="V42" s="40" t="n">
        <f aca="false">V41+IF($A42&lt;Inputs!$B$9,0,F$4*Inputs!$B$23*MIN(1,($A42-Inputs!$B$9+1)/(Inputs!$B$10-Inputs!$B$9+1)))*Inputs!$B$4*$A$8-$B42</f>
        <v>12441333.3333333</v>
      </c>
    </row>
    <row r="43" customFormat="false" ht="15" hidden="false" customHeight="true" outlineLevel="0" collapsed="false">
      <c r="A43" s="14" t="n">
        <v>31</v>
      </c>
      <c r="B43" s="43" t="n">
        <f aca="false">Cashflow!B35</f>
        <v>395000</v>
      </c>
      <c r="C43" s="40" t="n">
        <f aca="false">C42+IF($A43&lt;Inputs!$B$9,0,B$4*Inputs!$B$23*MIN(1,($A43-Inputs!$B$9+1)/(Inputs!$B$10-Inputs!$B$9+1)))*Inputs!$B$4*$A$5-$B43</f>
        <v>-8837114.28571428</v>
      </c>
      <c r="D43" s="40" t="n">
        <f aca="false">D42+IF($A43&lt;Inputs!$B$9,0,C$4*Inputs!$B$23*MIN(1,($A43-Inputs!$B$9+1)/(Inputs!$B$10-Inputs!$B$9+1)))*Inputs!$B$4*$A$5-$B43</f>
        <v>-6336657.14285714</v>
      </c>
      <c r="E43" s="40" t="n">
        <f aca="false">E42+IF($A43&lt;Inputs!$B$9,0,D$4*Inputs!$B$23*MIN(1,($A43-Inputs!$B$9+1)/(Inputs!$B$10-Inputs!$B$9+1)))*Inputs!$B$4*$A$5-$B43</f>
        <v>-3836200</v>
      </c>
      <c r="F43" s="40" t="n">
        <f aca="false">F42+IF($A43&lt;Inputs!$B$9,0,E$4*Inputs!$B$23*MIN(1,($A43-Inputs!$B$9+1)/(Inputs!$B$10-Inputs!$B$9+1)))*Inputs!$B$4*$A$5-$B43</f>
        <v>-1335742.85714286</v>
      </c>
      <c r="G43" s="40" t="n">
        <f aca="false">G42+IF($A43&lt;Inputs!$B$9,0,F$4*Inputs!$B$23*MIN(1,($A43-Inputs!$B$9+1)/(Inputs!$B$10-Inputs!$B$9+1)))*Inputs!$B$4*$A$5-$B43</f>
        <v>1164714.28571429</v>
      </c>
      <c r="H43" s="40" t="n">
        <f aca="false">H42+IF($A43&lt;Inputs!$B$9,0,B$4*Inputs!$B$23*MIN(1,($A43-Inputs!$B$9+1)/(Inputs!$B$10-Inputs!$B$9+1)))*Inputs!$B$4*$A$6-$B43</f>
        <v>-7170142.85714285</v>
      </c>
      <c r="I43" s="40" t="n">
        <f aca="false">I42+IF($A43&lt;Inputs!$B$9,0,C$4*Inputs!$B$23*MIN(1,($A43-Inputs!$B$9+1)/(Inputs!$B$10-Inputs!$B$9+1)))*Inputs!$B$4*$A$6-$B43</f>
        <v>-4044571.42857143</v>
      </c>
      <c r="J43" s="40" t="n">
        <f aca="false">J42+IF($A43&lt;Inputs!$B$9,0,D$4*Inputs!$B$23*MIN(1,($A43-Inputs!$B$9+1)/(Inputs!$B$10-Inputs!$B$9+1)))*Inputs!$B$4*$A$6-$B43</f>
        <v>-919000</v>
      </c>
      <c r="K43" s="40" t="n">
        <f aca="false">K42+IF($A43&lt;Inputs!$B$9,0,E$4*Inputs!$B$23*MIN(1,($A43-Inputs!$B$9+1)/(Inputs!$B$10-Inputs!$B$9+1)))*Inputs!$B$4*$A$6-$B43</f>
        <v>2206571.42857143</v>
      </c>
      <c r="L43" s="40" t="n">
        <f aca="false">L42+IF($A43&lt;Inputs!$B$9,0,F$4*Inputs!$B$23*MIN(1,($A43-Inputs!$B$9+1)/(Inputs!$B$10-Inputs!$B$9+1)))*Inputs!$B$4*$A$6-$B43</f>
        <v>5332142.85714286</v>
      </c>
      <c r="M43" s="40" t="n">
        <f aca="false">M42+IF($A43&lt;Inputs!$B$9,0,B$4*Inputs!$B$23*MIN(1,($A43-Inputs!$B$9+1)/(Inputs!$B$10-Inputs!$B$9+1)))*Inputs!$B$4*$A$7-$B43</f>
        <v>-5503171.42857143</v>
      </c>
      <c r="N43" s="40" t="n">
        <f aca="false">N42+IF($A43&lt;Inputs!$B$9,0,C$4*Inputs!$B$23*MIN(1,($A43-Inputs!$B$9+1)/(Inputs!$B$10-Inputs!$B$9+1)))*Inputs!$B$4*$A$7-$B43</f>
        <v>-1752485.71428571</v>
      </c>
      <c r="O43" s="40" t="n">
        <f aca="false">O42+IF($A43&lt;Inputs!$B$9,0,D$4*Inputs!$B$23*MIN(1,($A43-Inputs!$B$9+1)/(Inputs!$B$10-Inputs!$B$9+1)))*Inputs!$B$4*$A$7-$B43</f>
        <v>1998200</v>
      </c>
      <c r="P43" s="40" t="n">
        <f aca="false">P42+IF($A43&lt;Inputs!$B$9,0,E$4*Inputs!$B$23*MIN(1,($A43-Inputs!$B$9+1)/(Inputs!$B$10-Inputs!$B$9+1)))*Inputs!$B$4*$A$7-$B43</f>
        <v>5748885.71428571</v>
      </c>
      <c r="Q43" s="40" t="n">
        <f aca="false">Q42+IF($A43&lt;Inputs!$B$9,0,F$4*Inputs!$B$23*MIN(1,($A43-Inputs!$B$9+1)/(Inputs!$B$10-Inputs!$B$9+1)))*Inputs!$B$4*$A$7-$B43</f>
        <v>9499571.42857143</v>
      </c>
      <c r="R43" s="40" t="n">
        <f aca="false">R42+IF($A43&lt;Inputs!$B$9,0,B$4*Inputs!$B$23*MIN(1,($A43-Inputs!$B$9+1)/(Inputs!$B$10-Inputs!$B$9+1)))*Inputs!$B$4*$A$8-$B43</f>
        <v>-3836199.99999999</v>
      </c>
      <c r="S43" s="40" t="n">
        <f aca="false">S42+IF($A43&lt;Inputs!$B$9,0,C$4*Inputs!$B$23*MIN(1,($A43-Inputs!$B$9+1)/(Inputs!$B$10-Inputs!$B$9+1)))*Inputs!$B$4*$A$8-$B43</f>
        <v>539599.999999998</v>
      </c>
      <c r="T43" s="40" t="n">
        <f aca="false">T42+IF($A43&lt;Inputs!$B$9,0,D$4*Inputs!$B$23*MIN(1,($A43-Inputs!$B$9+1)/(Inputs!$B$10-Inputs!$B$9+1)))*Inputs!$B$4*$A$8-$B43</f>
        <v>4915400</v>
      </c>
      <c r="U43" s="40" t="n">
        <f aca="false">U42+IF($A43&lt;Inputs!$B$9,0,E$4*Inputs!$B$23*MIN(1,($A43-Inputs!$B$9+1)/(Inputs!$B$10-Inputs!$B$9+1)))*Inputs!$B$4*$A$8-$B43</f>
        <v>9291200</v>
      </c>
      <c r="V43" s="40" t="n">
        <f aca="false">V42+IF($A43&lt;Inputs!$B$9,0,F$4*Inputs!$B$23*MIN(1,($A43-Inputs!$B$9+1)/(Inputs!$B$10-Inputs!$B$9+1)))*Inputs!$B$4*$A$8-$B43</f>
        <v>13667000</v>
      </c>
    </row>
    <row r="44" customFormat="false" ht="15" hidden="false" customHeight="true" outlineLevel="0" collapsed="false">
      <c r="A44" s="14" t="n">
        <v>32</v>
      </c>
      <c r="B44" s="43" t="n">
        <f aca="false">Cashflow!B36</f>
        <v>395000</v>
      </c>
      <c r="C44" s="40" t="n">
        <f aca="false">C43+IF($A44&lt;Inputs!$B$9,0,B$4*Inputs!$B$23*MIN(1,($A44-Inputs!$B$9+1)/(Inputs!$B$10-Inputs!$B$9+1)))*Inputs!$B$4*$A$5-$B44</f>
        <v>-8861676.19047619</v>
      </c>
      <c r="D44" s="40" t="n">
        <f aca="false">D43+IF($A44&lt;Inputs!$B$9,0,C$4*Inputs!$B$23*MIN(1,($A44-Inputs!$B$9+1)/(Inputs!$B$10-Inputs!$B$9+1)))*Inputs!$B$4*$A$5-$B44</f>
        <v>-6222304.76190476</v>
      </c>
      <c r="E44" s="40" t="n">
        <f aca="false">E43+IF($A44&lt;Inputs!$B$9,0,D$4*Inputs!$B$23*MIN(1,($A44-Inputs!$B$9+1)/(Inputs!$B$10-Inputs!$B$9+1)))*Inputs!$B$4*$A$5-$B44</f>
        <v>-3582933.33333333</v>
      </c>
      <c r="F44" s="40" t="n">
        <f aca="false">F43+IF($A44&lt;Inputs!$B$9,0,E$4*Inputs!$B$23*MIN(1,($A44-Inputs!$B$9+1)/(Inputs!$B$10-Inputs!$B$9+1)))*Inputs!$B$4*$A$5-$B44</f>
        <v>-943561.904761903</v>
      </c>
      <c r="G44" s="40" t="n">
        <f aca="false">G43+IF($A44&lt;Inputs!$B$9,0,F$4*Inputs!$B$23*MIN(1,($A44-Inputs!$B$9+1)/(Inputs!$B$10-Inputs!$B$9+1)))*Inputs!$B$4*$A$5-$B44</f>
        <v>1695809.52380953</v>
      </c>
      <c r="H44" s="40" t="n">
        <f aca="false">H43+IF($A44&lt;Inputs!$B$9,0,B$4*Inputs!$B$23*MIN(1,($A44-Inputs!$B$9+1)/(Inputs!$B$10-Inputs!$B$9+1)))*Inputs!$B$4*$A$6-$B44</f>
        <v>-7102095.23809523</v>
      </c>
      <c r="I44" s="40" t="n">
        <f aca="false">I43+IF($A44&lt;Inputs!$B$9,0,C$4*Inputs!$B$23*MIN(1,($A44-Inputs!$B$9+1)/(Inputs!$B$10-Inputs!$B$9+1)))*Inputs!$B$4*$A$6-$B44</f>
        <v>-3802880.95238095</v>
      </c>
      <c r="J44" s="40" t="n">
        <f aca="false">J43+IF($A44&lt;Inputs!$B$9,0,D$4*Inputs!$B$23*MIN(1,($A44-Inputs!$B$9+1)/(Inputs!$B$10-Inputs!$B$9+1)))*Inputs!$B$4*$A$6-$B44</f>
        <v>-503666.666666667</v>
      </c>
      <c r="K44" s="40" t="n">
        <f aca="false">K43+IF($A44&lt;Inputs!$B$9,0,E$4*Inputs!$B$23*MIN(1,($A44-Inputs!$B$9+1)/(Inputs!$B$10-Inputs!$B$9+1)))*Inputs!$B$4*$A$6-$B44</f>
        <v>2795547.61904762</v>
      </c>
      <c r="L44" s="40" t="n">
        <f aca="false">L43+IF($A44&lt;Inputs!$B$9,0,F$4*Inputs!$B$23*MIN(1,($A44-Inputs!$B$9+1)/(Inputs!$B$10-Inputs!$B$9+1)))*Inputs!$B$4*$A$6-$B44</f>
        <v>6094761.90476191</v>
      </c>
      <c r="M44" s="40" t="n">
        <f aca="false">M43+IF($A44&lt;Inputs!$B$9,0,B$4*Inputs!$B$23*MIN(1,($A44-Inputs!$B$9+1)/(Inputs!$B$10-Inputs!$B$9+1)))*Inputs!$B$4*$A$7-$B44</f>
        <v>-5342514.28571429</v>
      </c>
      <c r="N44" s="40" t="n">
        <f aca="false">N43+IF($A44&lt;Inputs!$B$9,0,C$4*Inputs!$B$23*MIN(1,($A44-Inputs!$B$9+1)/(Inputs!$B$10-Inputs!$B$9+1)))*Inputs!$B$4*$A$7-$B44</f>
        <v>-1383457.14285714</v>
      </c>
      <c r="O44" s="40" t="n">
        <f aca="false">O43+IF($A44&lt;Inputs!$B$9,0,D$4*Inputs!$B$23*MIN(1,($A44-Inputs!$B$9+1)/(Inputs!$B$10-Inputs!$B$9+1)))*Inputs!$B$4*$A$7-$B44</f>
        <v>2575600</v>
      </c>
      <c r="P44" s="40" t="n">
        <f aca="false">P43+IF($A44&lt;Inputs!$B$9,0,E$4*Inputs!$B$23*MIN(1,($A44-Inputs!$B$9+1)/(Inputs!$B$10-Inputs!$B$9+1)))*Inputs!$B$4*$A$7-$B44</f>
        <v>6534657.14285714</v>
      </c>
      <c r="Q44" s="40" t="n">
        <f aca="false">Q43+IF($A44&lt;Inputs!$B$9,0,F$4*Inputs!$B$23*MIN(1,($A44-Inputs!$B$9+1)/(Inputs!$B$10-Inputs!$B$9+1)))*Inputs!$B$4*$A$7-$B44</f>
        <v>10493714.2857143</v>
      </c>
      <c r="R44" s="40" t="n">
        <f aca="false">R43+IF($A44&lt;Inputs!$B$9,0,B$4*Inputs!$B$23*MIN(1,($A44-Inputs!$B$9+1)/(Inputs!$B$10-Inputs!$B$9+1)))*Inputs!$B$4*$A$8-$B44</f>
        <v>-3582933.33333333</v>
      </c>
      <c r="S44" s="40" t="n">
        <f aca="false">S43+IF($A44&lt;Inputs!$B$9,0,C$4*Inputs!$B$23*MIN(1,($A44-Inputs!$B$9+1)/(Inputs!$B$10-Inputs!$B$9+1)))*Inputs!$B$4*$A$8-$B44</f>
        <v>1035966.66666666</v>
      </c>
      <c r="T44" s="40" t="n">
        <f aca="false">T43+IF($A44&lt;Inputs!$B$9,0,D$4*Inputs!$B$23*MIN(1,($A44-Inputs!$B$9+1)/(Inputs!$B$10-Inputs!$B$9+1)))*Inputs!$B$4*$A$8-$B44</f>
        <v>5654866.66666666</v>
      </c>
      <c r="U44" s="40" t="n">
        <f aca="false">U43+IF($A44&lt;Inputs!$B$9,0,E$4*Inputs!$B$23*MIN(1,($A44-Inputs!$B$9+1)/(Inputs!$B$10-Inputs!$B$9+1)))*Inputs!$B$4*$A$8-$B44</f>
        <v>10273766.6666667</v>
      </c>
      <c r="V44" s="40" t="n">
        <f aca="false">V43+IF($A44&lt;Inputs!$B$9,0,F$4*Inputs!$B$23*MIN(1,($A44-Inputs!$B$9+1)/(Inputs!$B$10-Inputs!$B$9+1)))*Inputs!$B$4*$A$8-$B44</f>
        <v>14892666.6666667</v>
      </c>
    </row>
    <row r="45" customFormat="false" ht="15" hidden="false" customHeight="true" outlineLevel="0" collapsed="false">
      <c r="A45" s="14" t="n">
        <v>33</v>
      </c>
      <c r="B45" s="43" t="n">
        <f aca="false">Cashflow!B37</f>
        <v>395000</v>
      </c>
      <c r="C45" s="40" t="n">
        <f aca="false">C44+IF($A45&lt;Inputs!$B$9,0,B$4*Inputs!$B$23*MIN(1,($A45-Inputs!$B$9+1)/(Inputs!$B$10-Inputs!$B$9+1)))*Inputs!$B$4*$A$5-$B45</f>
        <v>-8886238.09523809</v>
      </c>
      <c r="D45" s="40" t="n">
        <f aca="false">D44+IF($A45&lt;Inputs!$B$9,0,C$4*Inputs!$B$23*MIN(1,($A45-Inputs!$B$9+1)/(Inputs!$B$10-Inputs!$B$9+1)))*Inputs!$B$4*$A$5-$B45</f>
        <v>-6107952.38095238</v>
      </c>
      <c r="E45" s="40" t="n">
        <f aca="false">E44+IF($A45&lt;Inputs!$B$9,0,D$4*Inputs!$B$23*MIN(1,($A45-Inputs!$B$9+1)/(Inputs!$B$10-Inputs!$B$9+1)))*Inputs!$B$4*$A$5-$B45</f>
        <v>-3329666.66666666</v>
      </c>
      <c r="F45" s="40" t="n">
        <f aca="false">F44+IF($A45&lt;Inputs!$B$9,0,E$4*Inputs!$B$23*MIN(1,($A45-Inputs!$B$9+1)/(Inputs!$B$10-Inputs!$B$9+1)))*Inputs!$B$4*$A$5-$B45</f>
        <v>-551380.952380951</v>
      </c>
      <c r="G45" s="40" t="n">
        <f aca="false">G44+IF($A45&lt;Inputs!$B$9,0,F$4*Inputs!$B$23*MIN(1,($A45-Inputs!$B$9+1)/(Inputs!$B$10-Inputs!$B$9+1)))*Inputs!$B$4*$A$5-$B45</f>
        <v>2226904.76190477</v>
      </c>
      <c r="H45" s="40" t="n">
        <f aca="false">H44+IF($A45&lt;Inputs!$B$9,0,B$4*Inputs!$B$23*MIN(1,($A45-Inputs!$B$9+1)/(Inputs!$B$10-Inputs!$B$9+1)))*Inputs!$B$4*$A$6-$B45</f>
        <v>-7034047.61904761</v>
      </c>
      <c r="I45" s="40" t="n">
        <f aca="false">I44+IF($A45&lt;Inputs!$B$9,0,C$4*Inputs!$B$23*MIN(1,($A45-Inputs!$B$9+1)/(Inputs!$B$10-Inputs!$B$9+1)))*Inputs!$B$4*$A$6-$B45</f>
        <v>-3561190.47619048</v>
      </c>
      <c r="J45" s="40" t="n">
        <f aca="false">J44+IF($A45&lt;Inputs!$B$9,0,D$4*Inputs!$B$23*MIN(1,($A45-Inputs!$B$9+1)/(Inputs!$B$10-Inputs!$B$9+1)))*Inputs!$B$4*$A$6-$B45</f>
        <v>-88333.3333333337</v>
      </c>
      <c r="K45" s="40" t="n">
        <f aca="false">K44+IF($A45&lt;Inputs!$B$9,0,E$4*Inputs!$B$23*MIN(1,($A45-Inputs!$B$9+1)/(Inputs!$B$10-Inputs!$B$9+1)))*Inputs!$B$4*$A$6-$B45</f>
        <v>3384523.80952381</v>
      </c>
      <c r="L45" s="40" t="n">
        <f aca="false">L44+IF($A45&lt;Inputs!$B$9,0,F$4*Inputs!$B$23*MIN(1,($A45-Inputs!$B$9+1)/(Inputs!$B$10-Inputs!$B$9+1)))*Inputs!$B$4*$A$6-$B45</f>
        <v>6857380.95238096</v>
      </c>
      <c r="M45" s="40" t="n">
        <f aca="false">M44+IF($A45&lt;Inputs!$B$9,0,B$4*Inputs!$B$23*MIN(1,($A45-Inputs!$B$9+1)/(Inputs!$B$10-Inputs!$B$9+1)))*Inputs!$B$4*$A$7-$B45</f>
        <v>-5181857.14285714</v>
      </c>
      <c r="N45" s="40" t="n">
        <f aca="false">N44+IF($A45&lt;Inputs!$B$9,0,C$4*Inputs!$B$23*MIN(1,($A45-Inputs!$B$9+1)/(Inputs!$B$10-Inputs!$B$9+1)))*Inputs!$B$4*$A$7-$B45</f>
        <v>-1014428.57142857</v>
      </c>
      <c r="O45" s="40" t="n">
        <f aca="false">O44+IF($A45&lt;Inputs!$B$9,0,D$4*Inputs!$B$23*MIN(1,($A45-Inputs!$B$9+1)/(Inputs!$B$10-Inputs!$B$9+1)))*Inputs!$B$4*$A$7-$B45</f>
        <v>3153000</v>
      </c>
      <c r="P45" s="40" t="n">
        <f aca="false">P44+IF($A45&lt;Inputs!$B$9,0,E$4*Inputs!$B$23*MIN(1,($A45-Inputs!$B$9+1)/(Inputs!$B$10-Inputs!$B$9+1)))*Inputs!$B$4*$A$7-$B45</f>
        <v>7320428.57142857</v>
      </c>
      <c r="Q45" s="40" t="n">
        <f aca="false">Q44+IF($A45&lt;Inputs!$B$9,0,F$4*Inputs!$B$23*MIN(1,($A45-Inputs!$B$9+1)/(Inputs!$B$10-Inputs!$B$9+1)))*Inputs!$B$4*$A$7-$B45</f>
        <v>11487857.1428571</v>
      </c>
      <c r="R45" s="40" t="n">
        <f aca="false">R44+IF($A45&lt;Inputs!$B$9,0,B$4*Inputs!$B$23*MIN(1,($A45-Inputs!$B$9+1)/(Inputs!$B$10-Inputs!$B$9+1)))*Inputs!$B$4*$A$8-$B45</f>
        <v>-3329666.66666666</v>
      </c>
      <c r="S45" s="40" t="n">
        <f aca="false">S44+IF($A45&lt;Inputs!$B$9,0,C$4*Inputs!$B$23*MIN(1,($A45-Inputs!$B$9+1)/(Inputs!$B$10-Inputs!$B$9+1)))*Inputs!$B$4*$A$8-$B45</f>
        <v>1532333.33333333</v>
      </c>
      <c r="T45" s="40" t="n">
        <f aca="false">T44+IF($A45&lt;Inputs!$B$9,0,D$4*Inputs!$B$23*MIN(1,($A45-Inputs!$B$9+1)/(Inputs!$B$10-Inputs!$B$9+1)))*Inputs!$B$4*$A$8-$B45</f>
        <v>6394333.33333333</v>
      </c>
      <c r="U45" s="40" t="n">
        <f aca="false">U44+IF($A45&lt;Inputs!$B$9,0,E$4*Inputs!$B$23*MIN(1,($A45-Inputs!$B$9+1)/(Inputs!$B$10-Inputs!$B$9+1)))*Inputs!$B$4*$A$8-$B45</f>
        <v>11256333.3333333</v>
      </c>
      <c r="V45" s="40" t="n">
        <f aca="false">V44+IF($A45&lt;Inputs!$B$9,0,F$4*Inputs!$B$23*MIN(1,($A45-Inputs!$B$9+1)/(Inputs!$B$10-Inputs!$B$9+1)))*Inputs!$B$4*$A$8-$B45</f>
        <v>16118333.3333333</v>
      </c>
    </row>
    <row r="46" customFormat="false" ht="15" hidden="false" customHeight="true" outlineLevel="0" collapsed="false">
      <c r="A46" s="14" t="n">
        <v>34</v>
      </c>
      <c r="B46" s="43" t="n">
        <f aca="false">Cashflow!B38</f>
        <v>395000</v>
      </c>
      <c r="C46" s="40" t="n">
        <f aca="false">C45+IF($A46&lt;Inputs!$B$9,0,B$4*Inputs!$B$23*MIN(1,($A46-Inputs!$B$9+1)/(Inputs!$B$10-Inputs!$B$9+1)))*Inputs!$B$4*$A$5-$B46</f>
        <v>-8910800</v>
      </c>
      <c r="D46" s="40" t="n">
        <f aca="false">D45+IF($A46&lt;Inputs!$B$9,0,C$4*Inputs!$B$23*MIN(1,($A46-Inputs!$B$9+1)/(Inputs!$B$10-Inputs!$B$9+1)))*Inputs!$B$4*$A$5-$B46</f>
        <v>-5993600</v>
      </c>
      <c r="E46" s="40" t="n">
        <f aca="false">E45+IF($A46&lt;Inputs!$B$9,0,D$4*Inputs!$B$23*MIN(1,($A46-Inputs!$B$9+1)/(Inputs!$B$10-Inputs!$B$9+1)))*Inputs!$B$4*$A$5-$B46</f>
        <v>-3076400</v>
      </c>
      <c r="F46" s="40" t="n">
        <f aca="false">F45+IF($A46&lt;Inputs!$B$9,0,E$4*Inputs!$B$23*MIN(1,($A46-Inputs!$B$9+1)/(Inputs!$B$10-Inputs!$B$9+1)))*Inputs!$B$4*$A$5-$B46</f>
        <v>-159199.999999998</v>
      </c>
      <c r="G46" s="40" t="n">
        <f aca="false">G45+IF($A46&lt;Inputs!$B$9,0,F$4*Inputs!$B$23*MIN(1,($A46-Inputs!$B$9+1)/(Inputs!$B$10-Inputs!$B$9+1)))*Inputs!$B$4*$A$5-$B46</f>
        <v>2758000</v>
      </c>
      <c r="H46" s="40" t="n">
        <f aca="false">H45+IF($A46&lt;Inputs!$B$9,0,B$4*Inputs!$B$23*MIN(1,($A46-Inputs!$B$9+1)/(Inputs!$B$10-Inputs!$B$9+1)))*Inputs!$B$4*$A$6-$B46</f>
        <v>-6965999.99999999</v>
      </c>
      <c r="I46" s="40" t="n">
        <f aca="false">I45+IF($A46&lt;Inputs!$B$9,0,C$4*Inputs!$B$23*MIN(1,($A46-Inputs!$B$9+1)/(Inputs!$B$10-Inputs!$B$9+1)))*Inputs!$B$4*$A$6-$B46</f>
        <v>-3319500</v>
      </c>
      <c r="J46" s="40" t="n">
        <f aca="false">J45+IF($A46&lt;Inputs!$B$9,0,D$4*Inputs!$B$23*MIN(1,($A46-Inputs!$B$9+1)/(Inputs!$B$10-Inputs!$B$9+1)))*Inputs!$B$4*$A$6-$B46</f>
        <v>327000</v>
      </c>
      <c r="K46" s="40" t="n">
        <f aca="false">K45+IF($A46&lt;Inputs!$B$9,0,E$4*Inputs!$B$23*MIN(1,($A46-Inputs!$B$9+1)/(Inputs!$B$10-Inputs!$B$9+1)))*Inputs!$B$4*$A$6-$B46</f>
        <v>3973500</v>
      </c>
      <c r="L46" s="40" t="n">
        <f aca="false">L45+IF($A46&lt;Inputs!$B$9,0,F$4*Inputs!$B$23*MIN(1,($A46-Inputs!$B$9+1)/(Inputs!$B$10-Inputs!$B$9+1)))*Inputs!$B$4*$A$6-$B46</f>
        <v>7620000</v>
      </c>
      <c r="M46" s="40" t="n">
        <f aca="false">M45+IF($A46&lt;Inputs!$B$9,0,B$4*Inputs!$B$23*MIN(1,($A46-Inputs!$B$9+1)/(Inputs!$B$10-Inputs!$B$9+1)))*Inputs!$B$4*$A$7-$B46</f>
        <v>-5021200</v>
      </c>
      <c r="N46" s="40" t="n">
        <f aca="false">N45+IF($A46&lt;Inputs!$B$9,0,C$4*Inputs!$B$23*MIN(1,($A46-Inputs!$B$9+1)/(Inputs!$B$10-Inputs!$B$9+1)))*Inputs!$B$4*$A$7-$B46</f>
        <v>-645399.999999997</v>
      </c>
      <c r="O46" s="40" t="n">
        <f aca="false">O45+IF($A46&lt;Inputs!$B$9,0,D$4*Inputs!$B$23*MIN(1,($A46-Inputs!$B$9+1)/(Inputs!$B$10-Inputs!$B$9+1)))*Inputs!$B$4*$A$7-$B46</f>
        <v>3730400</v>
      </c>
      <c r="P46" s="40" t="n">
        <f aca="false">P45+IF($A46&lt;Inputs!$B$9,0,E$4*Inputs!$B$23*MIN(1,($A46-Inputs!$B$9+1)/(Inputs!$B$10-Inputs!$B$9+1)))*Inputs!$B$4*$A$7-$B46</f>
        <v>8106200</v>
      </c>
      <c r="Q46" s="40" t="n">
        <f aca="false">Q45+IF($A46&lt;Inputs!$B$9,0,F$4*Inputs!$B$23*MIN(1,($A46-Inputs!$B$9+1)/(Inputs!$B$10-Inputs!$B$9+1)))*Inputs!$B$4*$A$7-$B46</f>
        <v>12482000</v>
      </c>
      <c r="R46" s="40" t="n">
        <f aca="false">R45+IF($A46&lt;Inputs!$B$9,0,B$4*Inputs!$B$23*MIN(1,($A46-Inputs!$B$9+1)/(Inputs!$B$10-Inputs!$B$9+1)))*Inputs!$B$4*$A$8-$B46</f>
        <v>-3076399.99999999</v>
      </c>
      <c r="S46" s="40" t="n">
        <f aca="false">S45+IF($A46&lt;Inputs!$B$9,0,C$4*Inputs!$B$23*MIN(1,($A46-Inputs!$B$9+1)/(Inputs!$B$10-Inputs!$B$9+1)))*Inputs!$B$4*$A$8-$B46</f>
        <v>2028700</v>
      </c>
      <c r="T46" s="40" t="n">
        <f aca="false">T45+IF($A46&lt;Inputs!$B$9,0,D$4*Inputs!$B$23*MIN(1,($A46-Inputs!$B$9+1)/(Inputs!$B$10-Inputs!$B$9+1)))*Inputs!$B$4*$A$8-$B46</f>
        <v>7133800</v>
      </c>
      <c r="U46" s="40" t="n">
        <f aca="false">U45+IF($A46&lt;Inputs!$B$9,0,E$4*Inputs!$B$23*MIN(1,($A46-Inputs!$B$9+1)/(Inputs!$B$10-Inputs!$B$9+1)))*Inputs!$B$4*$A$8-$B46</f>
        <v>12238900</v>
      </c>
      <c r="V46" s="40" t="n">
        <f aca="false">V45+IF($A46&lt;Inputs!$B$9,0,F$4*Inputs!$B$23*MIN(1,($A46-Inputs!$B$9+1)/(Inputs!$B$10-Inputs!$B$9+1)))*Inputs!$B$4*$A$8-$B46</f>
        <v>17344000</v>
      </c>
    </row>
    <row r="47" customFormat="false" ht="15" hidden="false" customHeight="true" outlineLevel="0" collapsed="false">
      <c r="A47" s="14" t="n">
        <v>35</v>
      </c>
      <c r="B47" s="43" t="n">
        <f aca="false">Cashflow!B39</f>
        <v>395000</v>
      </c>
      <c r="C47" s="40" t="n">
        <f aca="false">C46+IF($A47&lt;Inputs!$B$9,0,B$4*Inputs!$B$23*MIN(1,($A47-Inputs!$B$9+1)/(Inputs!$B$10-Inputs!$B$9+1)))*Inputs!$B$4*$A$5-$B47</f>
        <v>-8935361.9047619</v>
      </c>
      <c r="D47" s="40" t="n">
        <f aca="false">D46+IF($A47&lt;Inputs!$B$9,0,C$4*Inputs!$B$23*MIN(1,($A47-Inputs!$B$9+1)/(Inputs!$B$10-Inputs!$B$9+1)))*Inputs!$B$4*$A$5-$B47</f>
        <v>-5879247.61904762</v>
      </c>
      <c r="E47" s="40" t="n">
        <f aca="false">E46+IF($A47&lt;Inputs!$B$9,0,D$4*Inputs!$B$23*MIN(1,($A47-Inputs!$B$9+1)/(Inputs!$B$10-Inputs!$B$9+1)))*Inputs!$B$4*$A$5-$B47</f>
        <v>-2823133.33333333</v>
      </c>
      <c r="F47" s="40" t="n">
        <f aca="false">F46+IF($A47&lt;Inputs!$B$9,0,E$4*Inputs!$B$23*MIN(1,($A47-Inputs!$B$9+1)/(Inputs!$B$10-Inputs!$B$9+1)))*Inputs!$B$4*$A$5-$B47</f>
        <v>232980.952380954</v>
      </c>
      <c r="G47" s="40" t="n">
        <f aca="false">G46+IF($A47&lt;Inputs!$B$9,0,F$4*Inputs!$B$23*MIN(1,($A47-Inputs!$B$9+1)/(Inputs!$B$10-Inputs!$B$9+1)))*Inputs!$B$4*$A$5-$B47</f>
        <v>3289095.23809524</v>
      </c>
      <c r="H47" s="40" t="n">
        <f aca="false">H46+IF($A47&lt;Inputs!$B$9,0,B$4*Inputs!$B$23*MIN(1,($A47-Inputs!$B$9+1)/(Inputs!$B$10-Inputs!$B$9+1)))*Inputs!$B$4*$A$6-$B47</f>
        <v>-6897952.38095237</v>
      </c>
      <c r="I47" s="40" t="n">
        <f aca="false">I46+IF($A47&lt;Inputs!$B$9,0,C$4*Inputs!$B$23*MIN(1,($A47-Inputs!$B$9+1)/(Inputs!$B$10-Inputs!$B$9+1)))*Inputs!$B$4*$A$6-$B47</f>
        <v>-3077809.52380952</v>
      </c>
      <c r="J47" s="40" t="n">
        <f aca="false">J46+IF($A47&lt;Inputs!$B$9,0,D$4*Inputs!$B$23*MIN(1,($A47-Inputs!$B$9+1)/(Inputs!$B$10-Inputs!$B$9+1)))*Inputs!$B$4*$A$6-$B47</f>
        <v>742333.333333333</v>
      </c>
      <c r="K47" s="40" t="n">
        <f aca="false">K46+IF($A47&lt;Inputs!$B$9,0,E$4*Inputs!$B$23*MIN(1,($A47-Inputs!$B$9+1)/(Inputs!$B$10-Inputs!$B$9+1)))*Inputs!$B$4*$A$6-$B47</f>
        <v>4562476.19047619</v>
      </c>
      <c r="L47" s="40" t="n">
        <f aca="false">L46+IF($A47&lt;Inputs!$B$9,0,F$4*Inputs!$B$23*MIN(1,($A47-Inputs!$B$9+1)/(Inputs!$B$10-Inputs!$B$9+1)))*Inputs!$B$4*$A$6-$B47</f>
        <v>8382619.04761905</v>
      </c>
      <c r="M47" s="40" t="n">
        <f aca="false">M46+IF($A47&lt;Inputs!$B$9,0,B$4*Inputs!$B$23*MIN(1,($A47-Inputs!$B$9+1)/(Inputs!$B$10-Inputs!$B$9+1)))*Inputs!$B$4*$A$7-$B47</f>
        <v>-4860542.85714286</v>
      </c>
      <c r="N47" s="40" t="n">
        <f aca="false">N46+IF($A47&lt;Inputs!$B$9,0,C$4*Inputs!$B$23*MIN(1,($A47-Inputs!$B$9+1)/(Inputs!$B$10-Inputs!$B$9+1)))*Inputs!$B$4*$A$7-$B47</f>
        <v>-276371.428571426</v>
      </c>
      <c r="O47" s="40" t="n">
        <f aca="false">O46+IF($A47&lt;Inputs!$B$9,0,D$4*Inputs!$B$23*MIN(1,($A47-Inputs!$B$9+1)/(Inputs!$B$10-Inputs!$B$9+1)))*Inputs!$B$4*$A$7-$B47</f>
        <v>4307800</v>
      </c>
      <c r="P47" s="40" t="n">
        <f aca="false">P46+IF($A47&lt;Inputs!$B$9,0,E$4*Inputs!$B$23*MIN(1,($A47-Inputs!$B$9+1)/(Inputs!$B$10-Inputs!$B$9+1)))*Inputs!$B$4*$A$7-$B47</f>
        <v>8891971.42857143</v>
      </c>
      <c r="Q47" s="40" t="n">
        <f aca="false">Q46+IF($A47&lt;Inputs!$B$9,0,F$4*Inputs!$B$23*MIN(1,($A47-Inputs!$B$9+1)/(Inputs!$B$10-Inputs!$B$9+1)))*Inputs!$B$4*$A$7-$B47</f>
        <v>13476142.8571429</v>
      </c>
      <c r="R47" s="40" t="n">
        <f aca="false">R46+IF($A47&lt;Inputs!$B$9,0,B$4*Inputs!$B$23*MIN(1,($A47-Inputs!$B$9+1)/(Inputs!$B$10-Inputs!$B$9+1)))*Inputs!$B$4*$A$8-$B47</f>
        <v>-2823133.33333333</v>
      </c>
      <c r="S47" s="40" t="n">
        <f aca="false">S46+IF($A47&lt;Inputs!$B$9,0,C$4*Inputs!$B$23*MIN(1,($A47-Inputs!$B$9+1)/(Inputs!$B$10-Inputs!$B$9+1)))*Inputs!$B$4*$A$8-$B47</f>
        <v>2525066.66666666</v>
      </c>
      <c r="T47" s="40" t="n">
        <f aca="false">T46+IF($A47&lt;Inputs!$B$9,0,D$4*Inputs!$B$23*MIN(1,($A47-Inputs!$B$9+1)/(Inputs!$B$10-Inputs!$B$9+1)))*Inputs!$B$4*$A$8-$B47</f>
        <v>7873266.66666666</v>
      </c>
      <c r="U47" s="40" t="n">
        <f aca="false">U46+IF($A47&lt;Inputs!$B$9,0,E$4*Inputs!$B$23*MIN(1,($A47-Inputs!$B$9+1)/(Inputs!$B$10-Inputs!$B$9+1)))*Inputs!$B$4*$A$8-$B47</f>
        <v>13221466.6666667</v>
      </c>
      <c r="V47" s="40" t="n">
        <f aca="false">V46+IF($A47&lt;Inputs!$B$9,0,F$4*Inputs!$B$23*MIN(1,($A47-Inputs!$B$9+1)/(Inputs!$B$10-Inputs!$B$9+1)))*Inputs!$B$4*$A$8-$B47</f>
        <v>18569666.6666667</v>
      </c>
    </row>
    <row r="48" customFormat="false" ht="15" hidden="false" customHeight="true" outlineLevel="0" collapsed="false">
      <c r="A48" s="14" t="n">
        <v>36</v>
      </c>
      <c r="B48" s="43" t="n">
        <f aca="false">Cashflow!B40</f>
        <v>395000</v>
      </c>
      <c r="C48" s="40" t="n">
        <f aca="false">C47+IF($A48&lt;Inputs!$B$9,0,B$4*Inputs!$B$23*MIN(1,($A48-Inputs!$B$9+1)/(Inputs!$B$10-Inputs!$B$9+1)))*Inputs!$B$4*$A$5-$B48</f>
        <v>-8959923.80952381</v>
      </c>
      <c r="D48" s="40" t="n">
        <f aca="false">D47+IF($A48&lt;Inputs!$B$9,0,C$4*Inputs!$B$23*MIN(1,($A48-Inputs!$B$9+1)/(Inputs!$B$10-Inputs!$B$9+1)))*Inputs!$B$4*$A$5-$B48</f>
        <v>-5764895.23809524</v>
      </c>
      <c r="E48" s="40" t="n">
        <f aca="false">E47+IF($A48&lt;Inputs!$B$9,0,D$4*Inputs!$B$23*MIN(1,($A48-Inputs!$B$9+1)/(Inputs!$B$10-Inputs!$B$9+1)))*Inputs!$B$4*$A$5-$B48</f>
        <v>-2569866.66666666</v>
      </c>
      <c r="F48" s="40" t="n">
        <f aca="false">F47+IF($A48&lt;Inputs!$B$9,0,E$4*Inputs!$B$23*MIN(1,($A48-Inputs!$B$9+1)/(Inputs!$B$10-Inputs!$B$9+1)))*Inputs!$B$4*$A$5-$B48</f>
        <v>625161.904761907</v>
      </c>
      <c r="G48" s="40" t="n">
        <f aca="false">G47+IF($A48&lt;Inputs!$B$9,0,F$4*Inputs!$B$23*MIN(1,($A48-Inputs!$B$9+1)/(Inputs!$B$10-Inputs!$B$9+1)))*Inputs!$B$4*$A$5-$B48</f>
        <v>3820190.47619048</v>
      </c>
      <c r="H48" s="40" t="n">
        <f aca="false">H47+IF($A48&lt;Inputs!$B$9,0,B$4*Inputs!$B$23*MIN(1,($A48-Inputs!$B$9+1)/(Inputs!$B$10-Inputs!$B$9+1)))*Inputs!$B$4*$A$6-$B48</f>
        <v>-6829904.76190476</v>
      </c>
      <c r="I48" s="40" t="n">
        <f aca="false">I47+IF($A48&lt;Inputs!$B$9,0,C$4*Inputs!$B$23*MIN(1,($A48-Inputs!$B$9+1)/(Inputs!$B$10-Inputs!$B$9+1)))*Inputs!$B$4*$A$6-$B48</f>
        <v>-2836119.04761905</v>
      </c>
      <c r="J48" s="40" t="n">
        <f aca="false">J47+IF($A48&lt;Inputs!$B$9,0,D$4*Inputs!$B$23*MIN(1,($A48-Inputs!$B$9+1)/(Inputs!$B$10-Inputs!$B$9+1)))*Inputs!$B$4*$A$6-$B48</f>
        <v>1157666.66666667</v>
      </c>
      <c r="K48" s="40" t="n">
        <f aca="false">K47+IF($A48&lt;Inputs!$B$9,0,E$4*Inputs!$B$23*MIN(1,($A48-Inputs!$B$9+1)/(Inputs!$B$10-Inputs!$B$9+1)))*Inputs!$B$4*$A$6-$B48</f>
        <v>5151452.38095238</v>
      </c>
      <c r="L48" s="40" t="n">
        <f aca="false">L47+IF($A48&lt;Inputs!$B$9,0,F$4*Inputs!$B$23*MIN(1,($A48-Inputs!$B$9+1)/(Inputs!$B$10-Inputs!$B$9+1)))*Inputs!$B$4*$A$6-$B48</f>
        <v>9145238.0952381</v>
      </c>
      <c r="M48" s="40" t="n">
        <f aca="false">M47+IF($A48&lt;Inputs!$B$9,0,B$4*Inputs!$B$23*MIN(1,($A48-Inputs!$B$9+1)/(Inputs!$B$10-Inputs!$B$9+1)))*Inputs!$B$4*$A$7-$B48</f>
        <v>-4699885.71428572</v>
      </c>
      <c r="N48" s="40" t="n">
        <f aca="false">N47+IF($A48&lt;Inputs!$B$9,0,C$4*Inputs!$B$23*MIN(1,($A48-Inputs!$B$9+1)/(Inputs!$B$10-Inputs!$B$9+1)))*Inputs!$B$4*$A$7-$B48</f>
        <v>92657.142857146</v>
      </c>
      <c r="O48" s="40" t="n">
        <f aca="false">O47+IF($A48&lt;Inputs!$B$9,0,D$4*Inputs!$B$23*MIN(1,($A48-Inputs!$B$9+1)/(Inputs!$B$10-Inputs!$B$9+1)))*Inputs!$B$4*$A$7-$B48</f>
        <v>4885200</v>
      </c>
      <c r="P48" s="40" t="n">
        <f aca="false">P47+IF($A48&lt;Inputs!$B$9,0,E$4*Inputs!$B$23*MIN(1,($A48-Inputs!$B$9+1)/(Inputs!$B$10-Inputs!$B$9+1)))*Inputs!$B$4*$A$7-$B48</f>
        <v>9677742.85714286</v>
      </c>
      <c r="Q48" s="40" t="n">
        <f aca="false">Q47+IF($A48&lt;Inputs!$B$9,0,F$4*Inputs!$B$23*MIN(1,($A48-Inputs!$B$9+1)/(Inputs!$B$10-Inputs!$B$9+1)))*Inputs!$B$4*$A$7-$B48</f>
        <v>14470285.7142857</v>
      </c>
      <c r="R48" s="40" t="n">
        <f aca="false">R47+IF($A48&lt;Inputs!$B$9,0,B$4*Inputs!$B$23*MIN(1,($A48-Inputs!$B$9+1)/(Inputs!$B$10-Inputs!$B$9+1)))*Inputs!$B$4*$A$8-$B48</f>
        <v>-2569866.66666666</v>
      </c>
      <c r="S48" s="40" t="n">
        <f aca="false">S47+IF($A48&lt;Inputs!$B$9,0,C$4*Inputs!$B$23*MIN(1,($A48-Inputs!$B$9+1)/(Inputs!$B$10-Inputs!$B$9+1)))*Inputs!$B$4*$A$8-$B48</f>
        <v>3021433.33333333</v>
      </c>
      <c r="T48" s="40" t="n">
        <f aca="false">T47+IF($A48&lt;Inputs!$B$9,0,D$4*Inputs!$B$23*MIN(1,($A48-Inputs!$B$9+1)/(Inputs!$B$10-Inputs!$B$9+1)))*Inputs!$B$4*$A$8-$B48</f>
        <v>8612733.33333333</v>
      </c>
      <c r="U48" s="40" t="n">
        <f aca="false">U47+IF($A48&lt;Inputs!$B$9,0,E$4*Inputs!$B$23*MIN(1,($A48-Inputs!$B$9+1)/(Inputs!$B$10-Inputs!$B$9+1)))*Inputs!$B$4*$A$8-$B48</f>
        <v>14204033.3333333</v>
      </c>
      <c r="V48" s="40" t="n">
        <f aca="false">V47+IF($A48&lt;Inputs!$B$9,0,F$4*Inputs!$B$23*MIN(1,($A48-Inputs!$B$9+1)/(Inputs!$B$10-Inputs!$B$9+1)))*Inputs!$B$4*$A$8-$B48</f>
        <v>19795333.3333333</v>
      </c>
    </row>
    <row r="49" customFormat="false" ht="15" hidden="false" customHeight="true" outlineLevel="0" collapsed="false">
      <c r="A49" s="14" t="n">
        <v>37</v>
      </c>
      <c r="B49" s="43" t="n">
        <f aca="false">Cashflow!B41</f>
        <v>395000</v>
      </c>
      <c r="C49" s="40" t="n">
        <f aca="false">C48+IF($A49&lt;Inputs!$B$9,0,B$4*Inputs!$B$23*MIN(1,($A49-Inputs!$B$9+1)/(Inputs!$B$10-Inputs!$B$9+1)))*Inputs!$B$4*$A$5-$B49</f>
        <v>-8984485.71428571</v>
      </c>
      <c r="D49" s="40" t="n">
        <f aca="false">D48+IF($A49&lt;Inputs!$B$9,0,C$4*Inputs!$B$23*MIN(1,($A49-Inputs!$B$9+1)/(Inputs!$B$10-Inputs!$B$9+1)))*Inputs!$B$4*$A$5-$B49</f>
        <v>-5650542.85714286</v>
      </c>
      <c r="E49" s="40" t="n">
        <f aca="false">E48+IF($A49&lt;Inputs!$B$9,0,D$4*Inputs!$B$23*MIN(1,($A49-Inputs!$B$9+1)/(Inputs!$B$10-Inputs!$B$9+1)))*Inputs!$B$4*$A$5-$B49</f>
        <v>-2316600</v>
      </c>
      <c r="F49" s="40" t="n">
        <f aca="false">F48+IF($A49&lt;Inputs!$B$9,0,E$4*Inputs!$B$23*MIN(1,($A49-Inputs!$B$9+1)/(Inputs!$B$10-Inputs!$B$9+1)))*Inputs!$B$4*$A$5-$B49</f>
        <v>1017342.85714286</v>
      </c>
      <c r="G49" s="40" t="n">
        <f aca="false">G48+IF($A49&lt;Inputs!$B$9,0,F$4*Inputs!$B$23*MIN(1,($A49-Inputs!$B$9+1)/(Inputs!$B$10-Inputs!$B$9+1)))*Inputs!$B$4*$A$5-$B49</f>
        <v>4351285.71428572</v>
      </c>
      <c r="H49" s="40" t="n">
        <f aca="false">H48+IF($A49&lt;Inputs!$B$9,0,B$4*Inputs!$B$23*MIN(1,($A49-Inputs!$B$9+1)/(Inputs!$B$10-Inputs!$B$9+1)))*Inputs!$B$4*$A$6-$B49</f>
        <v>-6761857.14285714</v>
      </c>
      <c r="I49" s="40" t="n">
        <f aca="false">I48+IF($A49&lt;Inputs!$B$9,0,C$4*Inputs!$B$23*MIN(1,($A49-Inputs!$B$9+1)/(Inputs!$B$10-Inputs!$B$9+1)))*Inputs!$B$4*$A$6-$B49</f>
        <v>-2594428.57142857</v>
      </c>
      <c r="J49" s="40" t="n">
        <f aca="false">J48+IF($A49&lt;Inputs!$B$9,0,D$4*Inputs!$B$23*MIN(1,($A49-Inputs!$B$9+1)/(Inputs!$B$10-Inputs!$B$9+1)))*Inputs!$B$4*$A$6-$B49</f>
        <v>1573000</v>
      </c>
      <c r="K49" s="40" t="n">
        <f aca="false">K48+IF($A49&lt;Inputs!$B$9,0,E$4*Inputs!$B$23*MIN(1,($A49-Inputs!$B$9+1)/(Inputs!$B$10-Inputs!$B$9+1)))*Inputs!$B$4*$A$6-$B49</f>
        <v>5740428.57142857</v>
      </c>
      <c r="L49" s="40" t="n">
        <f aca="false">L48+IF($A49&lt;Inputs!$B$9,0,F$4*Inputs!$B$23*MIN(1,($A49-Inputs!$B$9+1)/(Inputs!$B$10-Inputs!$B$9+1)))*Inputs!$B$4*$A$6-$B49</f>
        <v>9907857.14285715</v>
      </c>
      <c r="M49" s="40" t="n">
        <f aca="false">M48+IF($A49&lt;Inputs!$B$9,0,B$4*Inputs!$B$23*MIN(1,($A49-Inputs!$B$9+1)/(Inputs!$B$10-Inputs!$B$9+1)))*Inputs!$B$4*$A$7-$B49</f>
        <v>-4539228.57142857</v>
      </c>
      <c r="N49" s="40" t="n">
        <f aca="false">N48+IF($A49&lt;Inputs!$B$9,0,C$4*Inputs!$B$23*MIN(1,($A49-Inputs!$B$9+1)/(Inputs!$B$10-Inputs!$B$9+1)))*Inputs!$B$4*$A$7-$B49</f>
        <v>461685.714285717</v>
      </c>
      <c r="O49" s="40" t="n">
        <f aca="false">O48+IF($A49&lt;Inputs!$B$9,0,D$4*Inputs!$B$23*MIN(1,($A49-Inputs!$B$9+1)/(Inputs!$B$10-Inputs!$B$9+1)))*Inputs!$B$4*$A$7-$B49</f>
        <v>5462600</v>
      </c>
      <c r="P49" s="40" t="n">
        <f aca="false">P48+IF($A49&lt;Inputs!$B$9,0,E$4*Inputs!$B$23*MIN(1,($A49-Inputs!$B$9+1)/(Inputs!$B$10-Inputs!$B$9+1)))*Inputs!$B$4*$A$7-$B49</f>
        <v>10463514.2857143</v>
      </c>
      <c r="Q49" s="40" t="n">
        <f aca="false">Q48+IF($A49&lt;Inputs!$B$9,0,F$4*Inputs!$B$23*MIN(1,($A49-Inputs!$B$9+1)/(Inputs!$B$10-Inputs!$B$9+1)))*Inputs!$B$4*$A$7-$B49</f>
        <v>15464428.5714286</v>
      </c>
      <c r="R49" s="40" t="n">
        <f aca="false">R48+IF($A49&lt;Inputs!$B$9,0,B$4*Inputs!$B$23*MIN(1,($A49-Inputs!$B$9+1)/(Inputs!$B$10-Inputs!$B$9+1)))*Inputs!$B$4*$A$8-$B49</f>
        <v>-2316599.99999999</v>
      </c>
      <c r="S49" s="40" t="n">
        <f aca="false">S48+IF($A49&lt;Inputs!$B$9,0,C$4*Inputs!$B$23*MIN(1,($A49-Inputs!$B$9+1)/(Inputs!$B$10-Inputs!$B$9+1)))*Inputs!$B$4*$A$8-$B49</f>
        <v>3517800</v>
      </c>
      <c r="T49" s="40" t="n">
        <f aca="false">T48+IF($A49&lt;Inputs!$B$9,0,D$4*Inputs!$B$23*MIN(1,($A49-Inputs!$B$9+1)/(Inputs!$B$10-Inputs!$B$9+1)))*Inputs!$B$4*$A$8-$B49</f>
        <v>9352199.99999999</v>
      </c>
      <c r="U49" s="40" t="n">
        <f aca="false">U48+IF($A49&lt;Inputs!$B$9,0,E$4*Inputs!$B$23*MIN(1,($A49-Inputs!$B$9+1)/(Inputs!$B$10-Inputs!$B$9+1)))*Inputs!$B$4*$A$8-$B49</f>
        <v>15186600</v>
      </c>
      <c r="V49" s="40" t="n">
        <f aca="false">V48+IF($A49&lt;Inputs!$B$9,0,F$4*Inputs!$B$23*MIN(1,($A49-Inputs!$B$9+1)/(Inputs!$B$10-Inputs!$B$9+1)))*Inputs!$B$4*$A$8-$B49</f>
        <v>21021000</v>
      </c>
    </row>
    <row r="50" customFormat="false" ht="15" hidden="false" customHeight="true" outlineLevel="0" collapsed="false">
      <c r="A50" s="14" t="n">
        <v>38</v>
      </c>
      <c r="B50" s="43" t="n">
        <f aca="false">Cashflow!B42</f>
        <v>395000</v>
      </c>
      <c r="C50" s="40" t="n">
        <f aca="false">C49+IF($A50&lt;Inputs!$B$9,0,B$4*Inputs!$B$23*MIN(1,($A50-Inputs!$B$9+1)/(Inputs!$B$10-Inputs!$B$9+1)))*Inputs!$B$4*$A$5-$B50</f>
        <v>-9009047.61904762</v>
      </c>
      <c r="D50" s="40" t="n">
        <f aca="false">D49+IF($A50&lt;Inputs!$B$9,0,C$4*Inputs!$B$23*MIN(1,($A50-Inputs!$B$9+1)/(Inputs!$B$10-Inputs!$B$9+1)))*Inputs!$B$4*$A$5-$B50</f>
        <v>-5536190.47619048</v>
      </c>
      <c r="E50" s="40" t="n">
        <f aca="false">E49+IF($A50&lt;Inputs!$B$9,0,D$4*Inputs!$B$23*MIN(1,($A50-Inputs!$B$9+1)/(Inputs!$B$10-Inputs!$B$9+1)))*Inputs!$B$4*$A$5-$B50</f>
        <v>-2063333.33333333</v>
      </c>
      <c r="F50" s="40" t="n">
        <f aca="false">F49+IF($A50&lt;Inputs!$B$9,0,E$4*Inputs!$B$23*MIN(1,($A50-Inputs!$B$9+1)/(Inputs!$B$10-Inputs!$B$9+1)))*Inputs!$B$4*$A$5-$B50</f>
        <v>1409523.80952381</v>
      </c>
      <c r="G50" s="40" t="n">
        <f aca="false">G49+IF($A50&lt;Inputs!$B$9,0,F$4*Inputs!$B$23*MIN(1,($A50-Inputs!$B$9+1)/(Inputs!$B$10-Inputs!$B$9+1)))*Inputs!$B$4*$A$5-$B50</f>
        <v>4882380.95238095</v>
      </c>
      <c r="H50" s="40" t="n">
        <f aca="false">H49+IF($A50&lt;Inputs!$B$9,0,B$4*Inputs!$B$23*MIN(1,($A50-Inputs!$B$9+1)/(Inputs!$B$10-Inputs!$B$9+1)))*Inputs!$B$4*$A$6-$B50</f>
        <v>-6693809.52380952</v>
      </c>
      <c r="I50" s="40" t="n">
        <f aca="false">I49+IF($A50&lt;Inputs!$B$9,0,C$4*Inputs!$B$23*MIN(1,($A50-Inputs!$B$9+1)/(Inputs!$B$10-Inputs!$B$9+1)))*Inputs!$B$4*$A$6-$B50</f>
        <v>-2352738.0952381</v>
      </c>
      <c r="J50" s="40" t="n">
        <f aca="false">J49+IF($A50&lt;Inputs!$B$9,0,D$4*Inputs!$B$23*MIN(1,($A50-Inputs!$B$9+1)/(Inputs!$B$10-Inputs!$B$9+1)))*Inputs!$B$4*$A$6-$B50</f>
        <v>1988333.33333333</v>
      </c>
      <c r="K50" s="40" t="n">
        <f aca="false">K49+IF($A50&lt;Inputs!$B$9,0,E$4*Inputs!$B$23*MIN(1,($A50-Inputs!$B$9+1)/(Inputs!$B$10-Inputs!$B$9+1)))*Inputs!$B$4*$A$6-$B50</f>
        <v>6329404.76190476</v>
      </c>
      <c r="L50" s="40" t="n">
        <f aca="false">L49+IF($A50&lt;Inputs!$B$9,0,F$4*Inputs!$B$23*MIN(1,($A50-Inputs!$B$9+1)/(Inputs!$B$10-Inputs!$B$9+1)))*Inputs!$B$4*$A$6-$B50</f>
        <v>10670476.1904762</v>
      </c>
      <c r="M50" s="40" t="n">
        <f aca="false">M49+IF($A50&lt;Inputs!$B$9,0,B$4*Inputs!$B$23*MIN(1,($A50-Inputs!$B$9+1)/(Inputs!$B$10-Inputs!$B$9+1)))*Inputs!$B$4*$A$7-$B50</f>
        <v>-4378571.42857143</v>
      </c>
      <c r="N50" s="40" t="n">
        <f aca="false">N49+IF($A50&lt;Inputs!$B$9,0,C$4*Inputs!$B$23*MIN(1,($A50-Inputs!$B$9+1)/(Inputs!$B$10-Inputs!$B$9+1)))*Inputs!$B$4*$A$7-$B50</f>
        <v>830714.285714289</v>
      </c>
      <c r="O50" s="40" t="n">
        <f aca="false">O49+IF($A50&lt;Inputs!$B$9,0,D$4*Inputs!$B$23*MIN(1,($A50-Inputs!$B$9+1)/(Inputs!$B$10-Inputs!$B$9+1)))*Inputs!$B$4*$A$7-$B50</f>
        <v>6040000</v>
      </c>
      <c r="P50" s="40" t="n">
        <f aca="false">P49+IF($A50&lt;Inputs!$B$9,0,E$4*Inputs!$B$23*MIN(1,($A50-Inputs!$B$9+1)/(Inputs!$B$10-Inputs!$B$9+1)))*Inputs!$B$4*$A$7-$B50</f>
        <v>11249285.7142857</v>
      </c>
      <c r="Q50" s="40" t="n">
        <f aca="false">Q49+IF($A50&lt;Inputs!$B$9,0,F$4*Inputs!$B$23*MIN(1,($A50-Inputs!$B$9+1)/(Inputs!$B$10-Inputs!$B$9+1)))*Inputs!$B$4*$A$7-$B50</f>
        <v>16458571.4285714</v>
      </c>
      <c r="R50" s="40" t="n">
        <f aca="false">R49+IF($A50&lt;Inputs!$B$9,0,B$4*Inputs!$B$23*MIN(1,($A50-Inputs!$B$9+1)/(Inputs!$B$10-Inputs!$B$9+1)))*Inputs!$B$4*$A$8-$B50</f>
        <v>-2063333.33333333</v>
      </c>
      <c r="S50" s="40" t="n">
        <f aca="false">S49+IF($A50&lt;Inputs!$B$9,0,C$4*Inputs!$B$23*MIN(1,($A50-Inputs!$B$9+1)/(Inputs!$B$10-Inputs!$B$9+1)))*Inputs!$B$4*$A$8-$B50</f>
        <v>4014166.66666666</v>
      </c>
      <c r="T50" s="40" t="n">
        <f aca="false">T49+IF($A50&lt;Inputs!$B$9,0,D$4*Inputs!$B$23*MIN(1,($A50-Inputs!$B$9+1)/(Inputs!$B$10-Inputs!$B$9+1)))*Inputs!$B$4*$A$8-$B50</f>
        <v>10091666.6666667</v>
      </c>
      <c r="U50" s="40" t="n">
        <f aca="false">U49+IF($A50&lt;Inputs!$B$9,0,E$4*Inputs!$B$23*MIN(1,($A50-Inputs!$B$9+1)/(Inputs!$B$10-Inputs!$B$9+1)))*Inputs!$B$4*$A$8-$B50</f>
        <v>16169166.6666667</v>
      </c>
      <c r="V50" s="40" t="n">
        <f aca="false">V49+IF($A50&lt;Inputs!$B$9,0,F$4*Inputs!$B$23*MIN(1,($A50-Inputs!$B$9+1)/(Inputs!$B$10-Inputs!$B$9+1)))*Inputs!$B$4*$A$8-$B50</f>
        <v>22246666.6666667</v>
      </c>
    </row>
    <row r="51" customFormat="false" ht="15" hidden="false" customHeight="true" outlineLevel="0" collapsed="false">
      <c r="A51" s="14" t="n">
        <v>39</v>
      </c>
      <c r="B51" s="43" t="n">
        <f aca="false">Cashflow!B43</f>
        <v>395000</v>
      </c>
      <c r="C51" s="40" t="n">
        <f aca="false">C50+IF($A51&lt;Inputs!$B$9,0,B$4*Inputs!$B$23*MIN(1,($A51-Inputs!$B$9+1)/(Inputs!$B$10-Inputs!$B$9+1)))*Inputs!$B$4*$A$5-$B51</f>
        <v>-9033609.52380952</v>
      </c>
      <c r="D51" s="40" t="n">
        <f aca="false">D50+IF($A51&lt;Inputs!$B$9,0,C$4*Inputs!$B$23*MIN(1,($A51-Inputs!$B$9+1)/(Inputs!$B$10-Inputs!$B$9+1)))*Inputs!$B$4*$A$5-$B51</f>
        <v>-5421838.0952381</v>
      </c>
      <c r="E51" s="40" t="n">
        <f aca="false">E50+IF($A51&lt;Inputs!$B$9,0,D$4*Inputs!$B$23*MIN(1,($A51-Inputs!$B$9+1)/(Inputs!$B$10-Inputs!$B$9+1)))*Inputs!$B$4*$A$5-$B51</f>
        <v>-1810066.66666666</v>
      </c>
      <c r="F51" s="40" t="n">
        <f aca="false">F50+IF($A51&lt;Inputs!$B$9,0,E$4*Inputs!$B$23*MIN(1,($A51-Inputs!$B$9+1)/(Inputs!$B$10-Inputs!$B$9+1)))*Inputs!$B$4*$A$5-$B51</f>
        <v>1801704.76190476</v>
      </c>
      <c r="G51" s="40" t="n">
        <f aca="false">G50+IF($A51&lt;Inputs!$B$9,0,F$4*Inputs!$B$23*MIN(1,($A51-Inputs!$B$9+1)/(Inputs!$B$10-Inputs!$B$9+1)))*Inputs!$B$4*$A$5-$B51</f>
        <v>5413476.19047619</v>
      </c>
      <c r="H51" s="40" t="n">
        <f aca="false">H50+IF($A51&lt;Inputs!$B$9,0,B$4*Inputs!$B$23*MIN(1,($A51-Inputs!$B$9+1)/(Inputs!$B$10-Inputs!$B$9+1)))*Inputs!$B$4*$A$6-$B51</f>
        <v>-6625761.9047619</v>
      </c>
      <c r="I51" s="40" t="n">
        <f aca="false">I50+IF($A51&lt;Inputs!$B$9,0,C$4*Inputs!$B$23*MIN(1,($A51-Inputs!$B$9+1)/(Inputs!$B$10-Inputs!$B$9+1)))*Inputs!$B$4*$A$6-$B51</f>
        <v>-2111047.61904762</v>
      </c>
      <c r="J51" s="40" t="n">
        <f aca="false">J50+IF($A51&lt;Inputs!$B$9,0,D$4*Inputs!$B$23*MIN(1,($A51-Inputs!$B$9+1)/(Inputs!$B$10-Inputs!$B$9+1)))*Inputs!$B$4*$A$6-$B51</f>
        <v>2403666.66666667</v>
      </c>
      <c r="K51" s="40" t="n">
        <f aca="false">K50+IF($A51&lt;Inputs!$B$9,0,E$4*Inputs!$B$23*MIN(1,($A51-Inputs!$B$9+1)/(Inputs!$B$10-Inputs!$B$9+1)))*Inputs!$B$4*$A$6-$B51</f>
        <v>6918380.95238095</v>
      </c>
      <c r="L51" s="40" t="n">
        <f aca="false">L50+IF($A51&lt;Inputs!$B$9,0,F$4*Inputs!$B$23*MIN(1,($A51-Inputs!$B$9+1)/(Inputs!$B$10-Inputs!$B$9+1)))*Inputs!$B$4*$A$6-$B51</f>
        <v>11433095.2380952</v>
      </c>
      <c r="M51" s="40" t="n">
        <f aca="false">M50+IF($A51&lt;Inputs!$B$9,0,B$4*Inputs!$B$23*MIN(1,($A51-Inputs!$B$9+1)/(Inputs!$B$10-Inputs!$B$9+1)))*Inputs!$B$4*$A$7-$B51</f>
        <v>-4217914.28571429</v>
      </c>
      <c r="N51" s="40" t="n">
        <f aca="false">N50+IF($A51&lt;Inputs!$B$9,0,C$4*Inputs!$B$23*MIN(1,($A51-Inputs!$B$9+1)/(Inputs!$B$10-Inputs!$B$9+1)))*Inputs!$B$4*$A$7-$B51</f>
        <v>1199742.85714286</v>
      </c>
      <c r="O51" s="40" t="n">
        <f aca="false">O50+IF($A51&lt;Inputs!$B$9,0,D$4*Inputs!$B$23*MIN(1,($A51-Inputs!$B$9+1)/(Inputs!$B$10-Inputs!$B$9+1)))*Inputs!$B$4*$A$7-$B51</f>
        <v>6617400</v>
      </c>
      <c r="P51" s="40" t="n">
        <f aca="false">P50+IF($A51&lt;Inputs!$B$9,0,E$4*Inputs!$B$23*MIN(1,($A51-Inputs!$B$9+1)/(Inputs!$B$10-Inputs!$B$9+1)))*Inputs!$B$4*$A$7-$B51</f>
        <v>12035057.1428571</v>
      </c>
      <c r="Q51" s="40" t="n">
        <f aca="false">Q50+IF($A51&lt;Inputs!$B$9,0,F$4*Inputs!$B$23*MIN(1,($A51-Inputs!$B$9+1)/(Inputs!$B$10-Inputs!$B$9+1)))*Inputs!$B$4*$A$7-$B51</f>
        <v>17452714.2857143</v>
      </c>
      <c r="R51" s="40" t="n">
        <f aca="false">R50+IF($A51&lt;Inputs!$B$9,0,B$4*Inputs!$B$23*MIN(1,($A51-Inputs!$B$9+1)/(Inputs!$B$10-Inputs!$B$9+1)))*Inputs!$B$4*$A$8-$B51</f>
        <v>-1810066.66666666</v>
      </c>
      <c r="S51" s="40" t="n">
        <f aca="false">S50+IF($A51&lt;Inputs!$B$9,0,C$4*Inputs!$B$23*MIN(1,($A51-Inputs!$B$9+1)/(Inputs!$B$10-Inputs!$B$9+1)))*Inputs!$B$4*$A$8-$B51</f>
        <v>4510533.33333333</v>
      </c>
      <c r="T51" s="40" t="n">
        <f aca="false">T50+IF($A51&lt;Inputs!$B$9,0,D$4*Inputs!$B$23*MIN(1,($A51-Inputs!$B$9+1)/(Inputs!$B$10-Inputs!$B$9+1)))*Inputs!$B$4*$A$8-$B51</f>
        <v>10831133.3333333</v>
      </c>
      <c r="U51" s="40" t="n">
        <f aca="false">U50+IF($A51&lt;Inputs!$B$9,0,E$4*Inputs!$B$23*MIN(1,($A51-Inputs!$B$9+1)/(Inputs!$B$10-Inputs!$B$9+1)))*Inputs!$B$4*$A$8-$B51</f>
        <v>17151733.3333333</v>
      </c>
      <c r="V51" s="40" t="n">
        <f aca="false">V50+IF($A51&lt;Inputs!$B$9,0,F$4*Inputs!$B$23*MIN(1,($A51-Inputs!$B$9+1)/(Inputs!$B$10-Inputs!$B$9+1)))*Inputs!$B$4*$A$8-$B51</f>
        <v>23472333.3333333</v>
      </c>
    </row>
    <row r="52" customFormat="false" ht="15" hidden="false" customHeight="true" outlineLevel="0" collapsed="false">
      <c r="A52" s="14" t="n">
        <v>40</v>
      </c>
      <c r="B52" s="43" t="n">
        <f aca="false">Cashflow!B44</f>
        <v>395000</v>
      </c>
      <c r="C52" s="40" t="n">
        <f aca="false">C51+IF($A52&lt;Inputs!$B$9,0,B$4*Inputs!$B$23*MIN(1,($A52-Inputs!$B$9+1)/(Inputs!$B$10-Inputs!$B$9+1)))*Inputs!$B$4*$A$5-$B52</f>
        <v>-9058171.42857143</v>
      </c>
      <c r="D52" s="40" t="n">
        <f aca="false">D51+IF($A52&lt;Inputs!$B$9,0,C$4*Inputs!$B$23*MIN(1,($A52-Inputs!$B$9+1)/(Inputs!$B$10-Inputs!$B$9+1)))*Inputs!$B$4*$A$5-$B52</f>
        <v>-5307485.71428572</v>
      </c>
      <c r="E52" s="40" t="n">
        <f aca="false">E51+IF($A52&lt;Inputs!$B$9,0,D$4*Inputs!$B$23*MIN(1,($A52-Inputs!$B$9+1)/(Inputs!$B$10-Inputs!$B$9+1)))*Inputs!$B$4*$A$5-$B52</f>
        <v>-1556800</v>
      </c>
      <c r="F52" s="40" t="n">
        <f aca="false">F51+IF($A52&lt;Inputs!$B$9,0,E$4*Inputs!$B$23*MIN(1,($A52-Inputs!$B$9+1)/(Inputs!$B$10-Inputs!$B$9+1)))*Inputs!$B$4*$A$5-$B52</f>
        <v>2193885.71428572</v>
      </c>
      <c r="G52" s="40" t="n">
        <f aca="false">G51+IF($A52&lt;Inputs!$B$9,0,F$4*Inputs!$B$23*MIN(1,($A52-Inputs!$B$9+1)/(Inputs!$B$10-Inputs!$B$9+1)))*Inputs!$B$4*$A$5-$B52</f>
        <v>5944571.42857143</v>
      </c>
      <c r="H52" s="40" t="n">
        <f aca="false">H51+IF($A52&lt;Inputs!$B$9,0,B$4*Inputs!$B$23*MIN(1,($A52-Inputs!$B$9+1)/(Inputs!$B$10-Inputs!$B$9+1)))*Inputs!$B$4*$A$6-$B52</f>
        <v>-6557714.28571428</v>
      </c>
      <c r="I52" s="40" t="n">
        <f aca="false">I51+IF($A52&lt;Inputs!$B$9,0,C$4*Inputs!$B$23*MIN(1,($A52-Inputs!$B$9+1)/(Inputs!$B$10-Inputs!$B$9+1)))*Inputs!$B$4*$A$6-$B52</f>
        <v>-1869357.14285714</v>
      </c>
      <c r="J52" s="40" t="n">
        <f aca="false">J51+IF($A52&lt;Inputs!$B$9,0,D$4*Inputs!$B$23*MIN(1,($A52-Inputs!$B$9+1)/(Inputs!$B$10-Inputs!$B$9+1)))*Inputs!$B$4*$A$6-$B52</f>
        <v>2819000</v>
      </c>
      <c r="K52" s="40" t="n">
        <f aca="false">K51+IF($A52&lt;Inputs!$B$9,0,E$4*Inputs!$B$23*MIN(1,($A52-Inputs!$B$9+1)/(Inputs!$B$10-Inputs!$B$9+1)))*Inputs!$B$4*$A$6-$B52</f>
        <v>7507357.14285714</v>
      </c>
      <c r="L52" s="40" t="n">
        <f aca="false">L51+IF($A52&lt;Inputs!$B$9,0,F$4*Inputs!$B$23*MIN(1,($A52-Inputs!$B$9+1)/(Inputs!$B$10-Inputs!$B$9+1)))*Inputs!$B$4*$A$6-$B52</f>
        <v>12195714.2857143</v>
      </c>
      <c r="M52" s="40" t="n">
        <f aca="false">M51+IF($A52&lt;Inputs!$B$9,0,B$4*Inputs!$B$23*MIN(1,($A52-Inputs!$B$9+1)/(Inputs!$B$10-Inputs!$B$9+1)))*Inputs!$B$4*$A$7-$B52</f>
        <v>-4057257.14285714</v>
      </c>
      <c r="N52" s="40" t="n">
        <f aca="false">N51+IF($A52&lt;Inputs!$B$9,0,C$4*Inputs!$B$23*MIN(1,($A52-Inputs!$B$9+1)/(Inputs!$B$10-Inputs!$B$9+1)))*Inputs!$B$4*$A$7-$B52</f>
        <v>1568771.42857143</v>
      </c>
      <c r="O52" s="40" t="n">
        <f aca="false">O51+IF($A52&lt;Inputs!$B$9,0,D$4*Inputs!$B$23*MIN(1,($A52-Inputs!$B$9+1)/(Inputs!$B$10-Inputs!$B$9+1)))*Inputs!$B$4*$A$7-$B52</f>
        <v>7194800</v>
      </c>
      <c r="P52" s="40" t="n">
        <f aca="false">P51+IF($A52&lt;Inputs!$B$9,0,E$4*Inputs!$B$23*MIN(1,($A52-Inputs!$B$9+1)/(Inputs!$B$10-Inputs!$B$9+1)))*Inputs!$B$4*$A$7-$B52</f>
        <v>12820828.5714286</v>
      </c>
      <c r="Q52" s="40" t="n">
        <f aca="false">Q51+IF($A52&lt;Inputs!$B$9,0,F$4*Inputs!$B$23*MIN(1,($A52-Inputs!$B$9+1)/(Inputs!$B$10-Inputs!$B$9+1)))*Inputs!$B$4*$A$7-$B52</f>
        <v>18446857.1428571</v>
      </c>
      <c r="R52" s="40" t="n">
        <f aca="false">R51+IF($A52&lt;Inputs!$B$9,0,B$4*Inputs!$B$23*MIN(1,($A52-Inputs!$B$9+1)/(Inputs!$B$10-Inputs!$B$9+1)))*Inputs!$B$4*$A$8-$B52</f>
        <v>-1556799.99999999</v>
      </c>
      <c r="S52" s="40" t="n">
        <f aca="false">S51+IF($A52&lt;Inputs!$B$9,0,C$4*Inputs!$B$23*MIN(1,($A52-Inputs!$B$9+1)/(Inputs!$B$10-Inputs!$B$9+1)))*Inputs!$B$4*$A$8-$B52</f>
        <v>5006900</v>
      </c>
      <c r="T52" s="40" t="n">
        <f aca="false">T51+IF($A52&lt;Inputs!$B$9,0,D$4*Inputs!$B$23*MIN(1,($A52-Inputs!$B$9+1)/(Inputs!$B$10-Inputs!$B$9+1)))*Inputs!$B$4*$A$8-$B52</f>
        <v>11570600</v>
      </c>
      <c r="U52" s="40" t="n">
        <f aca="false">U51+IF($A52&lt;Inputs!$B$9,0,E$4*Inputs!$B$23*MIN(1,($A52-Inputs!$B$9+1)/(Inputs!$B$10-Inputs!$B$9+1)))*Inputs!$B$4*$A$8-$B52</f>
        <v>18134300</v>
      </c>
      <c r="V52" s="40" t="n">
        <f aca="false">V51+IF($A52&lt;Inputs!$B$9,0,F$4*Inputs!$B$23*MIN(1,($A52-Inputs!$B$9+1)/(Inputs!$B$10-Inputs!$B$9+1)))*Inputs!$B$4*$A$8-$B52</f>
        <v>24698000</v>
      </c>
    </row>
    <row r="53" customFormat="false" ht="15" hidden="false" customHeight="true" outlineLevel="0" collapsed="false">
      <c r="A53" s="14" t="n">
        <v>41</v>
      </c>
      <c r="B53" s="43" t="n">
        <f aca="false">Cashflow!B45</f>
        <v>395000</v>
      </c>
      <c r="C53" s="40" t="n">
        <f aca="false">C52+IF($A53&lt;Inputs!$B$9,0,B$4*Inputs!$B$23*MIN(1,($A53-Inputs!$B$9+1)/(Inputs!$B$10-Inputs!$B$9+1)))*Inputs!$B$4*$A$5-$B53</f>
        <v>-9082733.33333333</v>
      </c>
      <c r="D53" s="40" t="n">
        <f aca="false">D52+IF($A53&lt;Inputs!$B$9,0,C$4*Inputs!$B$23*MIN(1,($A53-Inputs!$B$9+1)/(Inputs!$B$10-Inputs!$B$9+1)))*Inputs!$B$4*$A$5-$B53</f>
        <v>-5193133.33333334</v>
      </c>
      <c r="E53" s="40" t="n">
        <f aca="false">E52+IF($A53&lt;Inputs!$B$9,0,D$4*Inputs!$B$23*MIN(1,($A53-Inputs!$B$9+1)/(Inputs!$B$10-Inputs!$B$9+1)))*Inputs!$B$4*$A$5-$B53</f>
        <v>-1303533.33333333</v>
      </c>
      <c r="F53" s="40" t="n">
        <f aca="false">F52+IF($A53&lt;Inputs!$B$9,0,E$4*Inputs!$B$23*MIN(1,($A53-Inputs!$B$9+1)/(Inputs!$B$10-Inputs!$B$9+1)))*Inputs!$B$4*$A$5-$B53</f>
        <v>2586066.66666667</v>
      </c>
      <c r="G53" s="40" t="n">
        <f aca="false">G52+IF($A53&lt;Inputs!$B$9,0,F$4*Inputs!$B$23*MIN(1,($A53-Inputs!$B$9+1)/(Inputs!$B$10-Inputs!$B$9+1)))*Inputs!$B$4*$A$5-$B53</f>
        <v>6475666.66666667</v>
      </c>
      <c r="H53" s="40" t="n">
        <f aca="false">H52+IF($A53&lt;Inputs!$B$9,0,B$4*Inputs!$B$23*MIN(1,($A53-Inputs!$B$9+1)/(Inputs!$B$10-Inputs!$B$9+1)))*Inputs!$B$4*$A$6-$B53</f>
        <v>-6489666.66666666</v>
      </c>
      <c r="I53" s="40" t="n">
        <f aca="false">I52+IF($A53&lt;Inputs!$B$9,0,C$4*Inputs!$B$23*MIN(1,($A53-Inputs!$B$9+1)/(Inputs!$B$10-Inputs!$B$9+1)))*Inputs!$B$4*$A$6-$B53</f>
        <v>-1627666.66666667</v>
      </c>
      <c r="J53" s="40" t="n">
        <f aca="false">J52+IF($A53&lt;Inputs!$B$9,0,D$4*Inputs!$B$23*MIN(1,($A53-Inputs!$B$9+1)/(Inputs!$B$10-Inputs!$B$9+1)))*Inputs!$B$4*$A$6-$B53</f>
        <v>3234333.33333333</v>
      </c>
      <c r="K53" s="40" t="n">
        <f aca="false">K52+IF($A53&lt;Inputs!$B$9,0,E$4*Inputs!$B$23*MIN(1,($A53-Inputs!$B$9+1)/(Inputs!$B$10-Inputs!$B$9+1)))*Inputs!$B$4*$A$6-$B53</f>
        <v>8096333.33333333</v>
      </c>
      <c r="L53" s="40" t="n">
        <f aca="false">L52+IF($A53&lt;Inputs!$B$9,0,F$4*Inputs!$B$23*MIN(1,($A53-Inputs!$B$9+1)/(Inputs!$B$10-Inputs!$B$9+1)))*Inputs!$B$4*$A$6-$B53</f>
        <v>12958333.3333333</v>
      </c>
      <c r="M53" s="40" t="n">
        <f aca="false">M52+IF($A53&lt;Inputs!$B$9,0,B$4*Inputs!$B$23*MIN(1,($A53-Inputs!$B$9+1)/(Inputs!$B$10-Inputs!$B$9+1)))*Inputs!$B$4*$A$7-$B53</f>
        <v>-3896600</v>
      </c>
      <c r="N53" s="40" t="n">
        <f aca="false">N52+IF($A53&lt;Inputs!$B$9,0,C$4*Inputs!$B$23*MIN(1,($A53-Inputs!$B$9+1)/(Inputs!$B$10-Inputs!$B$9+1)))*Inputs!$B$4*$A$7-$B53</f>
        <v>1937800</v>
      </c>
      <c r="O53" s="40" t="n">
        <f aca="false">O52+IF($A53&lt;Inputs!$B$9,0,D$4*Inputs!$B$23*MIN(1,($A53-Inputs!$B$9+1)/(Inputs!$B$10-Inputs!$B$9+1)))*Inputs!$B$4*$A$7-$B53</f>
        <v>7772200</v>
      </c>
      <c r="P53" s="40" t="n">
        <f aca="false">P52+IF($A53&lt;Inputs!$B$9,0,E$4*Inputs!$B$23*MIN(1,($A53-Inputs!$B$9+1)/(Inputs!$B$10-Inputs!$B$9+1)))*Inputs!$B$4*$A$7-$B53</f>
        <v>13606600</v>
      </c>
      <c r="Q53" s="40" t="n">
        <f aca="false">Q52+IF($A53&lt;Inputs!$B$9,0,F$4*Inputs!$B$23*MIN(1,($A53-Inputs!$B$9+1)/(Inputs!$B$10-Inputs!$B$9+1)))*Inputs!$B$4*$A$7-$B53</f>
        <v>19441000</v>
      </c>
      <c r="R53" s="40" t="n">
        <f aca="false">R52+IF($A53&lt;Inputs!$B$9,0,B$4*Inputs!$B$23*MIN(1,($A53-Inputs!$B$9+1)/(Inputs!$B$10-Inputs!$B$9+1)))*Inputs!$B$4*$A$8-$B53</f>
        <v>-1303533.33333333</v>
      </c>
      <c r="S53" s="40" t="n">
        <f aca="false">S52+IF($A53&lt;Inputs!$B$9,0,C$4*Inputs!$B$23*MIN(1,($A53-Inputs!$B$9+1)/(Inputs!$B$10-Inputs!$B$9+1)))*Inputs!$B$4*$A$8-$B53</f>
        <v>5503266.66666667</v>
      </c>
      <c r="T53" s="40" t="n">
        <f aca="false">T52+IF($A53&lt;Inputs!$B$9,0,D$4*Inputs!$B$23*MIN(1,($A53-Inputs!$B$9+1)/(Inputs!$B$10-Inputs!$B$9+1)))*Inputs!$B$4*$A$8-$B53</f>
        <v>12310066.6666667</v>
      </c>
      <c r="U53" s="40" t="n">
        <f aca="false">U52+IF($A53&lt;Inputs!$B$9,0,E$4*Inputs!$B$23*MIN(1,($A53-Inputs!$B$9+1)/(Inputs!$B$10-Inputs!$B$9+1)))*Inputs!$B$4*$A$8-$B53</f>
        <v>19116866.6666667</v>
      </c>
      <c r="V53" s="40" t="n">
        <f aca="false">V52+IF($A53&lt;Inputs!$B$9,0,F$4*Inputs!$B$23*MIN(1,($A53-Inputs!$B$9+1)/(Inputs!$B$10-Inputs!$B$9+1)))*Inputs!$B$4*$A$8-$B53</f>
        <v>25923666.6666667</v>
      </c>
    </row>
    <row r="54" customFormat="false" ht="15" hidden="false" customHeight="true" outlineLevel="0" collapsed="false">
      <c r="A54" s="14" t="n">
        <v>42</v>
      </c>
      <c r="B54" s="43" t="n">
        <f aca="false">Cashflow!B46</f>
        <v>395000</v>
      </c>
      <c r="C54" s="40" t="n">
        <f aca="false">C53+IF($A54&lt;Inputs!$B$9,0,B$4*Inputs!$B$23*MIN(1,($A54-Inputs!$B$9+1)/(Inputs!$B$10-Inputs!$B$9+1)))*Inputs!$B$4*$A$5-$B54</f>
        <v>-9107295.23809524</v>
      </c>
      <c r="D54" s="40" t="n">
        <f aca="false">D53+IF($A54&lt;Inputs!$B$9,0,C$4*Inputs!$B$23*MIN(1,($A54-Inputs!$B$9+1)/(Inputs!$B$10-Inputs!$B$9+1)))*Inputs!$B$4*$A$5-$B54</f>
        <v>-5078780.95238096</v>
      </c>
      <c r="E54" s="40" t="n">
        <f aca="false">E53+IF($A54&lt;Inputs!$B$9,0,D$4*Inputs!$B$23*MIN(1,($A54-Inputs!$B$9+1)/(Inputs!$B$10-Inputs!$B$9+1)))*Inputs!$B$4*$A$5-$B54</f>
        <v>-1050266.66666666</v>
      </c>
      <c r="F54" s="40" t="n">
        <f aca="false">F53+IF($A54&lt;Inputs!$B$9,0,E$4*Inputs!$B$23*MIN(1,($A54-Inputs!$B$9+1)/(Inputs!$B$10-Inputs!$B$9+1)))*Inputs!$B$4*$A$5-$B54</f>
        <v>2978247.61904762</v>
      </c>
      <c r="G54" s="40" t="n">
        <f aca="false">G53+IF($A54&lt;Inputs!$B$9,0,F$4*Inputs!$B$23*MIN(1,($A54-Inputs!$B$9+1)/(Inputs!$B$10-Inputs!$B$9+1)))*Inputs!$B$4*$A$5-$B54</f>
        <v>7006761.90476191</v>
      </c>
      <c r="H54" s="40" t="n">
        <f aca="false">H53+IF($A54&lt;Inputs!$B$9,0,B$4*Inputs!$B$23*MIN(1,($A54-Inputs!$B$9+1)/(Inputs!$B$10-Inputs!$B$9+1)))*Inputs!$B$4*$A$6-$B54</f>
        <v>-6421619.04761904</v>
      </c>
      <c r="I54" s="40" t="n">
        <f aca="false">I53+IF($A54&lt;Inputs!$B$9,0,C$4*Inputs!$B$23*MIN(1,($A54-Inputs!$B$9+1)/(Inputs!$B$10-Inputs!$B$9+1)))*Inputs!$B$4*$A$6-$B54</f>
        <v>-1385976.19047619</v>
      </c>
      <c r="J54" s="40" t="n">
        <f aca="false">J53+IF($A54&lt;Inputs!$B$9,0,D$4*Inputs!$B$23*MIN(1,($A54-Inputs!$B$9+1)/(Inputs!$B$10-Inputs!$B$9+1)))*Inputs!$B$4*$A$6-$B54</f>
        <v>3649666.66666667</v>
      </c>
      <c r="K54" s="40" t="n">
        <f aca="false">K53+IF($A54&lt;Inputs!$B$9,0,E$4*Inputs!$B$23*MIN(1,($A54-Inputs!$B$9+1)/(Inputs!$B$10-Inputs!$B$9+1)))*Inputs!$B$4*$A$6-$B54</f>
        <v>8685309.52380952</v>
      </c>
      <c r="L54" s="40" t="n">
        <f aca="false">L53+IF($A54&lt;Inputs!$B$9,0,F$4*Inputs!$B$23*MIN(1,($A54-Inputs!$B$9+1)/(Inputs!$B$10-Inputs!$B$9+1)))*Inputs!$B$4*$A$6-$B54</f>
        <v>13720952.3809524</v>
      </c>
      <c r="M54" s="40" t="n">
        <f aca="false">M53+IF($A54&lt;Inputs!$B$9,0,B$4*Inputs!$B$23*MIN(1,($A54-Inputs!$B$9+1)/(Inputs!$B$10-Inputs!$B$9+1)))*Inputs!$B$4*$A$7-$B54</f>
        <v>-3735942.85714286</v>
      </c>
      <c r="N54" s="40" t="n">
        <f aca="false">N53+IF($A54&lt;Inputs!$B$9,0,C$4*Inputs!$B$23*MIN(1,($A54-Inputs!$B$9+1)/(Inputs!$B$10-Inputs!$B$9+1)))*Inputs!$B$4*$A$7-$B54</f>
        <v>2306828.57142857</v>
      </c>
      <c r="O54" s="40" t="n">
        <f aca="false">O53+IF($A54&lt;Inputs!$B$9,0,D$4*Inputs!$B$23*MIN(1,($A54-Inputs!$B$9+1)/(Inputs!$B$10-Inputs!$B$9+1)))*Inputs!$B$4*$A$7-$B54</f>
        <v>8349600</v>
      </c>
      <c r="P54" s="40" t="n">
        <f aca="false">P53+IF($A54&lt;Inputs!$B$9,0,E$4*Inputs!$B$23*MIN(1,($A54-Inputs!$B$9+1)/(Inputs!$B$10-Inputs!$B$9+1)))*Inputs!$B$4*$A$7-$B54</f>
        <v>14392371.4285714</v>
      </c>
      <c r="Q54" s="40" t="n">
        <f aca="false">Q53+IF($A54&lt;Inputs!$B$9,0,F$4*Inputs!$B$23*MIN(1,($A54-Inputs!$B$9+1)/(Inputs!$B$10-Inputs!$B$9+1)))*Inputs!$B$4*$A$7-$B54</f>
        <v>20435142.8571429</v>
      </c>
      <c r="R54" s="40" t="n">
        <f aca="false">R53+IF($A54&lt;Inputs!$B$9,0,B$4*Inputs!$B$23*MIN(1,($A54-Inputs!$B$9+1)/(Inputs!$B$10-Inputs!$B$9+1)))*Inputs!$B$4*$A$8-$B54</f>
        <v>-1050266.66666666</v>
      </c>
      <c r="S54" s="40" t="n">
        <f aca="false">S53+IF($A54&lt;Inputs!$B$9,0,C$4*Inputs!$B$23*MIN(1,($A54-Inputs!$B$9+1)/(Inputs!$B$10-Inputs!$B$9+1)))*Inputs!$B$4*$A$8-$B54</f>
        <v>5999633.33333333</v>
      </c>
      <c r="T54" s="40" t="n">
        <f aca="false">T53+IF($A54&lt;Inputs!$B$9,0,D$4*Inputs!$B$23*MIN(1,($A54-Inputs!$B$9+1)/(Inputs!$B$10-Inputs!$B$9+1)))*Inputs!$B$4*$A$8-$B54</f>
        <v>13049533.3333333</v>
      </c>
      <c r="U54" s="40" t="n">
        <f aca="false">U53+IF($A54&lt;Inputs!$B$9,0,E$4*Inputs!$B$23*MIN(1,($A54-Inputs!$B$9+1)/(Inputs!$B$10-Inputs!$B$9+1)))*Inputs!$B$4*$A$8-$B54</f>
        <v>20099433.3333333</v>
      </c>
      <c r="V54" s="40" t="n">
        <f aca="false">V53+IF($A54&lt;Inputs!$B$9,0,F$4*Inputs!$B$23*MIN(1,($A54-Inputs!$B$9+1)/(Inputs!$B$10-Inputs!$B$9+1)))*Inputs!$B$4*$A$8-$B54</f>
        <v>27149333.3333333</v>
      </c>
    </row>
    <row r="55" customFormat="false" ht="15" hidden="false" customHeight="true" outlineLevel="0" collapsed="false">
      <c r="A55" s="14" t="n">
        <v>43</v>
      </c>
      <c r="B55" s="43" t="n">
        <f aca="false">Cashflow!B47</f>
        <v>395000</v>
      </c>
      <c r="C55" s="40" t="n">
        <f aca="false">C54+IF($A55&lt;Inputs!$B$9,0,B$4*Inputs!$B$23*MIN(1,($A55-Inputs!$B$9+1)/(Inputs!$B$10-Inputs!$B$9+1)))*Inputs!$B$4*$A$5-$B55</f>
        <v>-9131857.14285714</v>
      </c>
      <c r="D55" s="40" t="n">
        <f aca="false">D54+IF($A55&lt;Inputs!$B$9,0,C$4*Inputs!$B$23*MIN(1,($A55-Inputs!$B$9+1)/(Inputs!$B$10-Inputs!$B$9+1)))*Inputs!$B$4*$A$5-$B55</f>
        <v>-4964428.57142858</v>
      </c>
      <c r="E55" s="40" t="n">
        <f aca="false">E54+IF($A55&lt;Inputs!$B$9,0,D$4*Inputs!$B$23*MIN(1,($A55-Inputs!$B$9+1)/(Inputs!$B$10-Inputs!$B$9+1)))*Inputs!$B$4*$A$5-$B55</f>
        <v>-796999.999999997</v>
      </c>
      <c r="F55" s="40" t="n">
        <f aca="false">F54+IF($A55&lt;Inputs!$B$9,0,E$4*Inputs!$B$23*MIN(1,($A55-Inputs!$B$9+1)/(Inputs!$B$10-Inputs!$B$9+1)))*Inputs!$B$4*$A$5-$B55</f>
        <v>3370428.57142857</v>
      </c>
      <c r="G55" s="40" t="n">
        <f aca="false">G54+IF($A55&lt;Inputs!$B$9,0,F$4*Inputs!$B$23*MIN(1,($A55-Inputs!$B$9+1)/(Inputs!$B$10-Inputs!$B$9+1)))*Inputs!$B$4*$A$5-$B55</f>
        <v>7537857.14285714</v>
      </c>
      <c r="H55" s="40" t="n">
        <f aca="false">H54+IF($A55&lt;Inputs!$B$9,0,B$4*Inputs!$B$23*MIN(1,($A55-Inputs!$B$9+1)/(Inputs!$B$10-Inputs!$B$9+1)))*Inputs!$B$4*$A$6-$B55</f>
        <v>-6353571.42857142</v>
      </c>
      <c r="I55" s="40" t="n">
        <f aca="false">I54+IF($A55&lt;Inputs!$B$9,0,C$4*Inputs!$B$23*MIN(1,($A55-Inputs!$B$9+1)/(Inputs!$B$10-Inputs!$B$9+1)))*Inputs!$B$4*$A$6-$B55</f>
        <v>-1144285.71428571</v>
      </c>
      <c r="J55" s="40" t="n">
        <f aca="false">J54+IF($A55&lt;Inputs!$B$9,0,D$4*Inputs!$B$23*MIN(1,($A55-Inputs!$B$9+1)/(Inputs!$B$10-Inputs!$B$9+1)))*Inputs!$B$4*$A$6-$B55</f>
        <v>4065000</v>
      </c>
      <c r="K55" s="40" t="n">
        <f aca="false">K54+IF($A55&lt;Inputs!$B$9,0,E$4*Inputs!$B$23*MIN(1,($A55-Inputs!$B$9+1)/(Inputs!$B$10-Inputs!$B$9+1)))*Inputs!$B$4*$A$6-$B55</f>
        <v>9274285.71428572</v>
      </c>
      <c r="L55" s="40" t="n">
        <f aca="false">L54+IF($A55&lt;Inputs!$B$9,0,F$4*Inputs!$B$23*MIN(1,($A55-Inputs!$B$9+1)/(Inputs!$B$10-Inputs!$B$9+1)))*Inputs!$B$4*$A$6-$B55</f>
        <v>14483571.4285714</v>
      </c>
      <c r="M55" s="40" t="n">
        <f aca="false">M54+IF($A55&lt;Inputs!$B$9,0,B$4*Inputs!$B$23*MIN(1,($A55-Inputs!$B$9+1)/(Inputs!$B$10-Inputs!$B$9+1)))*Inputs!$B$4*$A$7-$B55</f>
        <v>-3575285.71428572</v>
      </c>
      <c r="N55" s="40" t="n">
        <f aca="false">N54+IF($A55&lt;Inputs!$B$9,0,C$4*Inputs!$B$23*MIN(1,($A55-Inputs!$B$9+1)/(Inputs!$B$10-Inputs!$B$9+1)))*Inputs!$B$4*$A$7-$B55</f>
        <v>2675857.14285715</v>
      </c>
      <c r="O55" s="40" t="n">
        <f aca="false">O54+IF($A55&lt;Inputs!$B$9,0,D$4*Inputs!$B$23*MIN(1,($A55-Inputs!$B$9+1)/(Inputs!$B$10-Inputs!$B$9+1)))*Inputs!$B$4*$A$7-$B55</f>
        <v>8927000</v>
      </c>
      <c r="P55" s="40" t="n">
        <f aca="false">P54+IF($A55&lt;Inputs!$B$9,0,E$4*Inputs!$B$23*MIN(1,($A55-Inputs!$B$9+1)/(Inputs!$B$10-Inputs!$B$9+1)))*Inputs!$B$4*$A$7-$B55</f>
        <v>15178142.8571429</v>
      </c>
      <c r="Q55" s="40" t="n">
        <f aca="false">Q54+IF($A55&lt;Inputs!$B$9,0,F$4*Inputs!$B$23*MIN(1,($A55-Inputs!$B$9+1)/(Inputs!$B$10-Inputs!$B$9+1)))*Inputs!$B$4*$A$7-$B55</f>
        <v>21429285.7142857</v>
      </c>
      <c r="R55" s="40" t="n">
        <f aca="false">R54+IF($A55&lt;Inputs!$B$9,0,B$4*Inputs!$B$23*MIN(1,($A55-Inputs!$B$9+1)/(Inputs!$B$10-Inputs!$B$9+1)))*Inputs!$B$4*$A$8-$B55</f>
        <v>-796999.999999992</v>
      </c>
      <c r="S55" s="40" t="n">
        <f aca="false">S54+IF($A55&lt;Inputs!$B$9,0,C$4*Inputs!$B$23*MIN(1,($A55-Inputs!$B$9+1)/(Inputs!$B$10-Inputs!$B$9+1)))*Inputs!$B$4*$A$8-$B55</f>
        <v>6496000</v>
      </c>
      <c r="T55" s="40" t="n">
        <f aca="false">T54+IF($A55&lt;Inputs!$B$9,0,D$4*Inputs!$B$23*MIN(1,($A55-Inputs!$B$9+1)/(Inputs!$B$10-Inputs!$B$9+1)))*Inputs!$B$4*$A$8-$B55</f>
        <v>13789000</v>
      </c>
      <c r="U55" s="40" t="n">
        <f aca="false">U54+IF($A55&lt;Inputs!$B$9,0,E$4*Inputs!$B$23*MIN(1,($A55-Inputs!$B$9+1)/(Inputs!$B$10-Inputs!$B$9+1)))*Inputs!$B$4*$A$8-$B55</f>
        <v>21082000</v>
      </c>
      <c r="V55" s="40" t="n">
        <f aca="false">V54+IF($A55&lt;Inputs!$B$9,0,F$4*Inputs!$B$23*MIN(1,($A55-Inputs!$B$9+1)/(Inputs!$B$10-Inputs!$B$9+1)))*Inputs!$B$4*$A$8-$B55</f>
        <v>28375000</v>
      </c>
    </row>
    <row r="56" customFormat="false" ht="15" hidden="false" customHeight="true" outlineLevel="0" collapsed="false">
      <c r="A56" s="14" t="n">
        <v>44</v>
      </c>
      <c r="B56" s="43" t="n">
        <f aca="false">Cashflow!B48</f>
        <v>395000</v>
      </c>
      <c r="C56" s="40" t="n">
        <f aca="false">C55+IF($A56&lt;Inputs!$B$9,0,B$4*Inputs!$B$23*MIN(1,($A56-Inputs!$B$9+1)/(Inputs!$B$10-Inputs!$B$9+1)))*Inputs!$B$4*$A$5-$B56</f>
        <v>-9156419.04761905</v>
      </c>
      <c r="D56" s="40" t="n">
        <f aca="false">D55+IF($A56&lt;Inputs!$B$9,0,C$4*Inputs!$B$23*MIN(1,($A56-Inputs!$B$9+1)/(Inputs!$B$10-Inputs!$B$9+1)))*Inputs!$B$4*$A$5-$B56</f>
        <v>-4850076.19047619</v>
      </c>
      <c r="E56" s="40" t="n">
        <f aca="false">E55+IF($A56&lt;Inputs!$B$9,0,D$4*Inputs!$B$23*MIN(1,($A56-Inputs!$B$9+1)/(Inputs!$B$10-Inputs!$B$9+1)))*Inputs!$B$4*$A$5-$B56</f>
        <v>-543733.333333331</v>
      </c>
      <c r="F56" s="40" t="n">
        <f aca="false">F55+IF($A56&lt;Inputs!$B$9,0,E$4*Inputs!$B$23*MIN(1,($A56-Inputs!$B$9+1)/(Inputs!$B$10-Inputs!$B$9+1)))*Inputs!$B$4*$A$5-$B56</f>
        <v>3762609.52380953</v>
      </c>
      <c r="G56" s="40" t="n">
        <f aca="false">G55+IF($A56&lt;Inputs!$B$9,0,F$4*Inputs!$B$23*MIN(1,($A56-Inputs!$B$9+1)/(Inputs!$B$10-Inputs!$B$9+1)))*Inputs!$B$4*$A$5-$B56</f>
        <v>8068952.38095238</v>
      </c>
      <c r="H56" s="40" t="n">
        <f aca="false">H55+IF($A56&lt;Inputs!$B$9,0,B$4*Inputs!$B$23*MIN(1,($A56-Inputs!$B$9+1)/(Inputs!$B$10-Inputs!$B$9+1)))*Inputs!$B$4*$A$6-$B56</f>
        <v>-6285523.8095238</v>
      </c>
      <c r="I56" s="40" t="n">
        <f aca="false">I55+IF($A56&lt;Inputs!$B$9,0,C$4*Inputs!$B$23*MIN(1,($A56-Inputs!$B$9+1)/(Inputs!$B$10-Inputs!$B$9+1)))*Inputs!$B$4*$A$6-$B56</f>
        <v>-902595.238095238</v>
      </c>
      <c r="J56" s="40" t="n">
        <f aca="false">J55+IF($A56&lt;Inputs!$B$9,0,D$4*Inputs!$B$23*MIN(1,($A56-Inputs!$B$9+1)/(Inputs!$B$10-Inputs!$B$9+1)))*Inputs!$B$4*$A$6-$B56</f>
        <v>4480333.33333333</v>
      </c>
      <c r="K56" s="40" t="n">
        <f aca="false">K55+IF($A56&lt;Inputs!$B$9,0,E$4*Inputs!$B$23*MIN(1,($A56-Inputs!$B$9+1)/(Inputs!$B$10-Inputs!$B$9+1)))*Inputs!$B$4*$A$6-$B56</f>
        <v>9863261.90476191</v>
      </c>
      <c r="L56" s="40" t="n">
        <f aca="false">L55+IF($A56&lt;Inputs!$B$9,0,F$4*Inputs!$B$23*MIN(1,($A56-Inputs!$B$9+1)/(Inputs!$B$10-Inputs!$B$9+1)))*Inputs!$B$4*$A$6-$B56</f>
        <v>15246190.4761905</v>
      </c>
      <c r="M56" s="40" t="n">
        <f aca="false">M55+IF($A56&lt;Inputs!$B$9,0,B$4*Inputs!$B$23*MIN(1,($A56-Inputs!$B$9+1)/(Inputs!$B$10-Inputs!$B$9+1)))*Inputs!$B$4*$A$7-$B56</f>
        <v>-3414628.57142857</v>
      </c>
      <c r="N56" s="40" t="n">
        <f aca="false">N55+IF($A56&lt;Inputs!$B$9,0,C$4*Inputs!$B$23*MIN(1,($A56-Inputs!$B$9+1)/(Inputs!$B$10-Inputs!$B$9+1)))*Inputs!$B$4*$A$7-$B56</f>
        <v>3044885.71428572</v>
      </c>
      <c r="O56" s="40" t="n">
        <f aca="false">O55+IF($A56&lt;Inputs!$B$9,0,D$4*Inputs!$B$23*MIN(1,($A56-Inputs!$B$9+1)/(Inputs!$B$10-Inputs!$B$9+1)))*Inputs!$B$4*$A$7-$B56</f>
        <v>9504400</v>
      </c>
      <c r="P56" s="40" t="n">
        <f aca="false">P55+IF($A56&lt;Inputs!$B$9,0,E$4*Inputs!$B$23*MIN(1,($A56-Inputs!$B$9+1)/(Inputs!$B$10-Inputs!$B$9+1)))*Inputs!$B$4*$A$7-$B56</f>
        <v>15963914.2857143</v>
      </c>
      <c r="Q56" s="40" t="n">
        <f aca="false">Q55+IF($A56&lt;Inputs!$B$9,0,F$4*Inputs!$B$23*MIN(1,($A56-Inputs!$B$9+1)/(Inputs!$B$10-Inputs!$B$9+1)))*Inputs!$B$4*$A$7-$B56</f>
        <v>22423428.5714286</v>
      </c>
      <c r="R56" s="40" t="n">
        <f aca="false">R55+IF($A56&lt;Inputs!$B$9,0,B$4*Inputs!$B$23*MIN(1,($A56-Inputs!$B$9+1)/(Inputs!$B$10-Inputs!$B$9+1)))*Inputs!$B$4*$A$8-$B56</f>
        <v>-543733.333333325</v>
      </c>
      <c r="S56" s="40" t="n">
        <f aca="false">S55+IF($A56&lt;Inputs!$B$9,0,C$4*Inputs!$B$23*MIN(1,($A56-Inputs!$B$9+1)/(Inputs!$B$10-Inputs!$B$9+1)))*Inputs!$B$4*$A$8-$B56</f>
        <v>6992366.66666667</v>
      </c>
      <c r="T56" s="40" t="n">
        <f aca="false">T55+IF($A56&lt;Inputs!$B$9,0,D$4*Inputs!$B$23*MIN(1,($A56-Inputs!$B$9+1)/(Inputs!$B$10-Inputs!$B$9+1)))*Inputs!$B$4*$A$8-$B56</f>
        <v>14528466.6666667</v>
      </c>
      <c r="U56" s="40" t="n">
        <f aca="false">U55+IF($A56&lt;Inputs!$B$9,0,E$4*Inputs!$B$23*MIN(1,($A56-Inputs!$B$9+1)/(Inputs!$B$10-Inputs!$B$9+1)))*Inputs!$B$4*$A$8-$B56</f>
        <v>22064566.6666667</v>
      </c>
      <c r="V56" s="40" t="n">
        <f aca="false">V55+IF($A56&lt;Inputs!$B$9,0,F$4*Inputs!$B$23*MIN(1,($A56-Inputs!$B$9+1)/(Inputs!$B$10-Inputs!$B$9+1)))*Inputs!$B$4*$A$8-$B56</f>
        <v>29600666.6666667</v>
      </c>
    </row>
    <row r="57" customFormat="false" ht="15" hidden="false" customHeight="true" outlineLevel="0" collapsed="false">
      <c r="A57" s="14" t="n">
        <v>45</v>
      </c>
      <c r="B57" s="43" t="n">
        <f aca="false">Cashflow!B49</f>
        <v>395000</v>
      </c>
      <c r="C57" s="40" t="n">
        <f aca="false">C56+IF($A57&lt;Inputs!$B$9,0,B$4*Inputs!$B$23*MIN(1,($A57-Inputs!$B$9+1)/(Inputs!$B$10-Inputs!$B$9+1)))*Inputs!$B$4*$A$5-$B57</f>
        <v>-9180980.95238095</v>
      </c>
      <c r="D57" s="40" t="n">
        <f aca="false">D56+IF($A57&lt;Inputs!$B$9,0,C$4*Inputs!$B$23*MIN(1,($A57-Inputs!$B$9+1)/(Inputs!$B$10-Inputs!$B$9+1)))*Inputs!$B$4*$A$5-$B57</f>
        <v>-4735723.80952381</v>
      </c>
      <c r="E57" s="40" t="n">
        <f aca="false">E56+IF($A57&lt;Inputs!$B$9,0,D$4*Inputs!$B$23*MIN(1,($A57-Inputs!$B$9+1)/(Inputs!$B$10-Inputs!$B$9+1)))*Inputs!$B$4*$A$5-$B57</f>
        <v>-290466.666666664</v>
      </c>
      <c r="F57" s="40" t="n">
        <f aca="false">F56+IF($A57&lt;Inputs!$B$9,0,E$4*Inputs!$B$23*MIN(1,($A57-Inputs!$B$9+1)/(Inputs!$B$10-Inputs!$B$9+1)))*Inputs!$B$4*$A$5-$B57</f>
        <v>4154790.47619048</v>
      </c>
      <c r="G57" s="40" t="n">
        <f aca="false">G56+IF($A57&lt;Inputs!$B$9,0,F$4*Inputs!$B$23*MIN(1,($A57-Inputs!$B$9+1)/(Inputs!$B$10-Inputs!$B$9+1)))*Inputs!$B$4*$A$5-$B57</f>
        <v>8600047.61904762</v>
      </c>
      <c r="H57" s="40" t="n">
        <f aca="false">H56+IF($A57&lt;Inputs!$B$9,0,B$4*Inputs!$B$23*MIN(1,($A57-Inputs!$B$9+1)/(Inputs!$B$10-Inputs!$B$9+1)))*Inputs!$B$4*$A$6-$B57</f>
        <v>-6217476.19047618</v>
      </c>
      <c r="I57" s="40" t="n">
        <f aca="false">I56+IF($A57&lt;Inputs!$B$9,0,C$4*Inputs!$B$23*MIN(1,($A57-Inputs!$B$9+1)/(Inputs!$B$10-Inputs!$B$9+1)))*Inputs!$B$4*$A$6-$B57</f>
        <v>-660904.761904762</v>
      </c>
      <c r="J57" s="40" t="n">
        <f aca="false">J56+IF($A57&lt;Inputs!$B$9,0,D$4*Inputs!$B$23*MIN(1,($A57-Inputs!$B$9+1)/(Inputs!$B$10-Inputs!$B$9+1)))*Inputs!$B$4*$A$6-$B57</f>
        <v>4895666.66666666</v>
      </c>
      <c r="K57" s="40" t="n">
        <f aca="false">K56+IF($A57&lt;Inputs!$B$9,0,E$4*Inputs!$B$23*MIN(1,($A57-Inputs!$B$9+1)/(Inputs!$B$10-Inputs!$B$9+1)))*Inputs!$B$4*$A$6-$B57</f>
        <v>10452238.0952381</v>
      </c>
      <c r="L57" s="40" t="n">
        <f aca="false">L56+IF($A57&lt;Inputs!$B$9,0,F$4*Inputs!$B$23*MIN(1,($A57-Inputs!$B$9+1)/(Inputs!$B$10-Inputs!$B$9+1)))*Inputs!$B$4*$A$6-$B57</f>
        <v>16008809.5238095</v>
      </c>
      <c r="M57" s="40" t="n">
        <f aca="false">M56+IF($A57&lt;Inputs!$B$9,0,B$4*Inputs!$B$23*MIN(1,($A57-Inputs!$B$9+1)/(Inputs!$B$10-Inputs!$B$9+1)))*Inputs!$B$4*$A$7-$B57</f>
        <v>-3253971.42857143</v>
      </c>
      <c r="N57" s="40" t="n">
        <f aca="false">N56+IF($A57&lt;Inputs!$B$9,0,C$4*Inputs!$B$23*MIN(1,($A57-Inputs!$B$9+1)/(Inputs!$B$10-Inputs!$B$9+1)))*Inputs!$B$4*$A$7-$B57</f>
        <v>3413914.28571429</v>
      </c>
      <c r="O57" s="40" t="n">
        <f aca="false">O56+IF($A57&lt;Inputs!$B$9,0,D$4*Inputs!$B$23*MIN(1,($A57-Inputs!$B$9+1)/(Inputs!$B$10-Inputs!$B$9+1)))*Inputs!$B$4*$A$7-$B57</f>
        <v>10081800</v>
      </c>
      <c r="P57" s="40" t="n">
        <f aca="false">P56+IF($A57&lt;Inputs!$B$9,0,E$4*Inputs!$B$23*MIN(1,($A57-Inputs!$B$9+1)/(Inputs!$B$10-Inputs!$B$9+1)))*Inputs!$B$4*$A$7-$B57</f>
        <v>16749685.7142857</v>
      </c>
      <c r="Q57" s="40" t="n">
        <f aca="false">Q56+IF($A57&lt;Inputs!$B$9,0,F$4*Inputs!$B$23*MIN(1,($A57-Inputs!$B$9+1)/(Inputs!$B$10-Inputs!$B$9+1)))*Inputs!$B$4*$A$7-$B57</f>
        <v>23417571.4285714</v>
      </c>
      <c r="R57" s="40" t="n">
        <f aca="false">R56+IF($A57&lt;Inputs!$B$9,0,B$4*Inputs!$B$23*MIN(1,($A57-Inputs!$B$9+1)/(Inputs!$B$10-Inputs!$B$9+1)))*Inputs!$B$4*$A$8-$B57</f>
        <v>-290466.666666659</v>
      </c>
      <c r="S57" s="40" t="n">
        <f aca="false">S56+IF($A57&lt;Inputs!$B$9,0,C$4*Inputs!$B$23*MIN(1,($A57-Inputs!$B$9+1)/(Inputs!$B$10-Inputs!$B$9+1)))*Inputs!$B$4*$A$8-$B57</f>
        <v>7488733.33333333</v>
      </c>
      <c r="T57" s="40" t="n">
        <f aca="false">T56+IF($A57&lt;Inputs!$B$9,0,D$4*Inputs!$B$23*MIN(1,($A57-Inputs!$B$9+1)/(Inputs!$B$10-Inputs!$B$9+1)))*Inputs!$B$4*$A$8-$B57</f>
        <v>15267933.3333333</v>
      </c>
      <c r="U57" s="40" t="n">
        <f aca="false">U56+IF($A57&lt;Inputs!$B$9,0,E$4*Inputs!$B$23*MIN(1,($A57-Inputs!$B$9+1)/(Inputs!$B$10-Inputs!$B$9+1)))*Inputs!$B$4*$A$8-$B57</f>
        <v>23047133.3333333</v>
      </c>
      <c r="V57" s="40" t="n">
        <f aca="false">V56+IF($A57&lt;Inputs!$B$9,0,F$4*Inputs!$B$23*MIN(1,($A57-Inputs!$B$9+1)/(Inputs!$B$10-Inputs!$B$9+1)))*Inputs!$B$4*$A$8-$B57</f>
        <v>30826333.3333333</v>
      </c>
    </row>
    <row r="58" customFormat="false" ht="15" hidden="false" customHeight="true" outlineLevel="0" collapsed="false">
      <c r="A58" s="14" t="n">
        <v>46</v>
      </c>
      <c r="B58" s="43" t="n">
        <f aca="false">Cashflow!B50</f>
        <v>395000</v>
      </c>
      <c r="C58" s="40" t="n">
        <f aca="false">C57+IF($A58&lt;Inputs!$B$9,0,B$4*Inputs!$B$23*MIN(1,($A58-Inputs!$B$9+1)/(Inputs!$B$10-Inputs!$B$9+1)))*Inputs!$B$4*$A$5-$B58</f>
        <v>-9205542.85714286</v>
      </c>
      <c r="D58" s="40" t="n">
        <f aca="false">D57+IF($A58&lt;Inputs!$B$9,0,C$4*Inputs!$B$23*MIN(1,($A58-Inputs!$B$9+1)/(Inputs!$B$10-Inputs!$B$9+1)))*Inputs!$B$4*$A$5-$B58</f>
        <v>-4621371.42857143</v>
      </c>
      <c r="E58" s="40" t="n">
        <f aca="false">E57+IF($A58&lt;Inputs!$B$9,0,D$4*Inputs!$B$23*MIN(1,($A58-Inputs!$B$9+1)/(Inputs!$B$10-Inputs!$B$9+1)))*Inputs!$B$4*$A$5-$B58</f>
        <v>-37199.9999999972</v>
      </c>
      <c r="F58" s="40" t="n">
        <f aca="false">F57+IF($A58&lt;Inputs!$B$9,0,E$4*Inputs!$B$23*MIN(1,($A58-Inputs!$B$9+1)/(Inputs!$B$10-Inputs!$B$9+1)))*Inputs!$B$4*$A$5-$B58</f>
        <v>4546971.42857143</v>
      </c>
      <c r="G58" s="40" t="n">
        <f aca="false">G57+IF($A58&lt;Inputs!$B$9,0,F$4*Inputs!$B$23*MIN(1,($A58-Inputs!$B$9+1)/(Inputs!$B$10-Inputs!$B$9+1)))*Inputs!$B$4*$A$5-$B58</f>
        <v>9131142.85714286</v>
      </c>
      <c r="H58" s="40" t="n">
        <f aca="false">H57+IF($A58&lt;Inputs!$B$9,0,B$4*Inputs!$B$23*MIN(1,($A58-Inputs!$B$9+1)/(Inputs!$B$10-Inputs!$B$9+1)))*Inputs!$B$4*$A$6-$B58</f>
        <v>-6149428.57142856</v>
      </c>
      <c r="I58" s="40" t="n">
        <f aca="false">I57+IF($A58&lt;Inputs!$B$9,0,C$4*Inputs!$B$23*MIN(1,($A58-Inputs!$B$9+1)/(Inputs!$B$10-Inputs!$B$9+1)))*Inputs!$B$4*$A$6-$B58</f>
        <v>-419214.285714285</v>
      </c>
      <c r="J58" s="40" t="n">
        <f aca="false">J57+IF($A58&lt;Inputs!$B$9,0,D$4*Inputs!$B$23*MIN(1,($A58-Inputs!$B$9+1)/(Inputs!$B$10-Inputs!$B$9+1)))*Inputs!$B$4*$A$6-$B58</f>
        <v>5311000</v>
      </c>
      <c r="K58" s="40" t="n">
        <f aca="false">K57+IF($A58&lt;Inputs!$B$9,0,E$4*Inputs!$B$23*MIN(1,($A58-Inputs!$B$9+1)/(Inputs!$B$10-Inputs!$B$9+1)))*Inputs!$B$4*$A$6-$B58</f>
        <v>11041214.2857143</v>
      </c>
      <c r="L58" s="40" t="n">
        <f aca="false">L57+IF($A58&lt;Inputs!$B$9,0,F$4*Inputs!$B$23*MIN(1,($A58-Inputs!$B$9+1)/(Inputs!$B$10-Inputs!$B$9+1)))*Inputs!$B$4*$A$6-$B58</f>
        <v>16771428.5714286</v>
      </c>
      <c r="M58" s="40" t="n">
        <f aca="false">M57+IF($A58&lt;Inputs!$B$9,0,B$4*Inputs!$B$23*MIN(1,($A58-Inputs!$B$9+1)/(Inputs!$B$10-Inputs!$B$9+1)))*Inputs!$B$4*$A$7-$B58</f>
        <v>-3093314.28571429</v>
      </c>
      <c r="N58" s="40" t="n">
        <f aca="false">N57+IF($A58&lt;Inputs!$B$9,0,C$4*Inputs!$B$23*MIN(1,($A58-Inputs!$B$9+1)/(Inputs!$B$10-Inputs!$B$9+1)))*Inputs!$B$4*$A$7-$B58</f>
        <v>3782942.85714286</v>
      </c>
      <c r="O58" s="40" t="n">
        <f aca="false">O57+IF($A58&lt;Inputs!$B$9,0,D$4*Inputs!$B$23*MIN(1,($A58-Inputs!$B$9+1)/(Inputs!$B$10-Inputs!$B$9+1)))*Inputs!$B$4*$A$7-$B58</f>
        <v>10659200</v>
      </c>
      <c r="P58" s="40" t="n">
        <f aca="false">P57+IF($A58&lt;Inputs!$B$9,0,E$4*Inputs!$B$23*MIN(1,($A58-Inputs!$B$9+1)/(Inputs!$B$10-Inputs!$B$9+1)))*Inputs!$B$4*$A$7-$B58</f>
        <v>17535457.1428571</v>
      </c>
      <c r="Q58" s="40" t="n">
        <f aca="false">Q57+IF($A58&lt;Inputs!$B$9,0,F$4*Inputs!$B$23*MIN(1,($A58-Inputs!$B$9+1)/(Inputs!$B$10-Inputs!$B$9+1)))*Inputs!$B$4*$A$7-$B58</f>
        <v>24411714.2857143</v>
      </c>
      <c r="R58" s="40" t="n">
        <f aca="false">R57+IF($A58&lt;Inputs!$B$9,0,B$4*Inputs!$B$23*MIN(1,($A58-Inputs!$B$9+1)/(Inputs!$B$10-Inputs!$B$9+1)))*Inputs!$B$4*$A$8-$B58</f>
        <v>-37199.9999999919</v>
      </c>
      <c r="S58" s="40" t="n">
        <f aca="false">S57+IF($A58&lt;Inputs!$B$9,0,C$4*Inputs!$B$23*MIN(1,($A58-Inputs!$B$9+1)/(Inputs!$B$10-Inputs!$B$9+1)))*Inputs!$B$4*$A$8-$B58</f>
        <v>7985100</v>
      </c>
      <c r="T58" s="40" t="n">
        <f aca="false">T57+IF($A58&lt;Inputs!$B$9,0,D$4*Inputs!$B$23*MIN(1,($A58-Inputs!$B$9+1)/(Inputs!$B$10-Inputs!$B$9+1)))*Inputs!$B$4*$A$8-$B58</f>
        <v>16007400</v>
      </c>
      <c r="U58" s="40" t="n">
        <f aca="false">U57+IF($A58&lt;Inputs!$B$9,0,E$4*Inputs!$B$23*MIN(1,($A58-Inputs!$B$9+1)/(Inputs!$B$10-Inputs!$B$9+1)))*Inputs!$B$4*$A$8-$B58</f>
        <v>24029700</v>
      </c>
      <c r="V58" s="40" t="n">
        <f aca="false">V57+IF($A58&lt;Inputs!$B$9,0,F$4*Inputs!$B$23*MIN(1,($A58-Inputs!$B$9+1)/(Inputs!$B$10-Inputs!$B$9+1)))*Inputs!$B$4*$A$8-$B58</f>
        <v>32052000</v>
      </c>
    </row>
    <row r="59" customFormat="false" ht="15" hidden="false" customHeight="true" outlineLevel="0" collapsed="false">
      <c r="A59" s="14" t="n">
        <v>47</v>
      </c>
      <c r="B59" s="43" t="n">
        <f aca="false">Cashflow!B51</f>
        <v>395000</v>
      </c>
      <c r="C59" s="40" t="n">
        <f aca="false">C58+IF($A59&lt;Inputs!$B$9,0,B$4*Inputs!$B$23*MIN(1,($A59-Inputs!$B$9+1)/(Inputs!$B$10-Inputs!$B$9+1)))*Inputs!$B$4*$A$5-$B59</f>
        <v>-9230104.76190476</v>
      </c>
      <c r="D59" s="40" t="n">
        <f aca="false">D58+IF($A59&lt;Inputs!$B$9,0,C$4*Inputs!$B$23*MIN(1,($A59-Inputs!$B$9+1)/(Inputs!$B$10-Inputs!$B$9+1)))*Inputs!$B$4*$A$5-$B59</f>
        <v>-4507019.04761905</v>
      </c>
      <c r="E59" s="40" t="n">
        <f aca="false">E58+IF($A59&lt;Inputs!$B$9,0,D$4*Inputs!$B$23*MIN(1,($A59-Inputs!$B$9+1)/(Inputs!$B$10-Inputs!$B$9+1)))*Inputs!$B$4*$A$5-$B59</f>
        <v>216066.666666669</v>
      </c>
      <c r="F59" s="40" t="n">
        <f aca="false">F58+IF($A59&lt;Inputs!$B$9,0,E$4*Inputs!$B$23*MIN(1,($A59-Inputs!$B$9+1)/(Inputs!$B$10-Inputs!$B$9+1)))*Inputs!$B$4*$A$5-$B59</f>
        <v>4939152.38095238</v>
      </c>
      <c r="G59" s="40" t="n">
        <f aca="false">G58+IF($A59&lt;Inputs!$B$9,0,F$4*Inputs!$B$23*MIN(1,($A59-Inputs!$B$9+1)/(Inputs!$B$10-Inputs!$B$9+1)))*Inputs!$B$4*$A$5-$B59</f>
        <v>9662238.0952381</v>
      </c>
      <c r="H59" s="40" t="n">
        <f aca="false">H58+IF($A59&lt;Inputs!$B$9,0,B$4*Inputs!$B$23*MIN(1,($A59-Inputs!$B$9+1)/(Inputs!$B$10-Inputs!$B$9+1)))*Inputs!$B$4*$A$6-$B59</f>
        <v>-6081380.95238094</v>
      </c>
      <c r="I59" s="40" t="n">
        <f aca="false">I58+IF($A59&lt;Inputs!$B$9,0,C$4*Inputs!$B$23*MIN(1,($A59-Inputs!$B$9+1)/(Inputs!$B$10-Inputs!$B$9+1)))*Inputs!$B$4*$A$6-$B59</f>
        <v>-177523.809523809</v>
      </c>
      <c r="J59" s="40" t="n">
        <f aca="false">J58+IF($A59&lt;Inputs!$B$9,0,D$4*Inputs!$B$23*MIN(1,($A59-Inputs!$B$9+1)/(Inputs!$B$10-Inputs!$B$9+1)))*Inputs!$B$4*$A$6-$B59</f>
        <v>5726333.33333333</v>
      </c>
      <c r="K59" s="40" t="n">
        <f aca="false">K58+IF($A59&lt;Inputs!$B$9,0,E$4*Inputs!$B$23*MIN(1,($A59-Inputs!$B$9+1)/(Inputs!$B$10-Inputs!$B$9+1)))*Inputs!$B$4*$A$6-$B59</f>
        <v>11630190.4761905</v>
      </c>
      <c r="L59" s="40" t="n">
        <f aca="false">L58+IF($A59&lt;Inputs!$B$9,0,F$4*Inputs!$B$23*MIN(1,($A59-Inputs!$B$9+1)/(Inputs!$B$10-Inputs!$B$9+1)))*Inputs!$B$4*$A$6-$B59</f>
        <v>17534047.6190476</v>
      </c>
      <c r="M59" s="40" t="n">
        <f aca="false">M58+IF($A59&lt;Inputs!$B$9,0,B$4*Inputs!$B$23*MIN(1,($A59-Inputs!$B$9+1)/(Inputs!$B$10-Inputs!$B$9+1)))*Inputs!$B$4*$A$7-$B59</f>
        <v>-2932657.14285714</v>
      </c>
      <c r="N59" s="40" t="n">
        <f aca="false">N58+IF($A59&lt;Inputs!$B$9,0,C$4*Inputs!$B$23*MIN(1,($A59-Inputs!$B$9+1)/(Inputs!$B$10-Inputs!$B$9+1)))*Inputs!$B$4*$A$7-$B59</f>
        <v>4151971.42857143</v>
      </c>
      <c r="O59" s="40" t="n">
        <f aca="false">O58+IF($A59&lt;Inputs!$B$9,0,D$4*Inputs!$B$23*MIN(1,($A59-Inputs!$B$9+1)/(Inputs!$B$10-Inputs!$B$9+1)))*Inputs!$B$4*$A$7-$B59</f>
        <v>11236600</v>
      </c>
      <c r="P59" s="40" t="n">
        <f aca="false">P58+IF($A59&lt;Inputs!$B$9,0,E$4*Inputs!$B$23*MIN(1,($A59-Inputs!$B$9+1)/(Inputs!$B$10-Inputs!$B$9+1)))*Inputs!$B$4*$A$7-$B59</f>
        <v>18321228.5714286</v>
      </c>
      <c r="Q59" s="40" t="n">
        <f aca="false">Q58+IF($A59&lt;Inputs!$B$9,0,F$4*Inputs!$B$23*MIN(1,($A59-Inputs!$B$9+1)/(Inputs!$B$10-Inputs!$B$9+1)))*Inputs!$B$4*$A$7-$B59</f>
        <v>25405857.1428572</v>
      </c>
      <c r="R59" s="40" t="n">
        <f aca="false">R58+IF($A59&lt;Inputs!$B$9,0,B$4*Inputs!$B$23*MIN(1,($A59-Inputs!$B$9+1)/(Inputs!$B$10-Inputs!$B$9+1)))*Inputs!$B$4*$A$8-$B59</f>
        <v>216066.666666675</v>
      </c>
      <c r="S59" s="40" t="n">
        <f aca="false">S58+IF($A59&lt;Inputs!$B$9,0,C$4*Inputs!$B$23*MIN(1,($A59-Inputs!$B$9+1)/(Inputs!$B$10-Inputs!$B$9+1)))*Inputs!$B$4*$A$8-$B59</f>
        <v>8481466.66666667</v>
      </c>
      <c r="T59" s="40" t="n">
        <f aca="false">T58+IF($A59&lt;Inputs!$B$9,0,D$4*Inputs!$B$23*MIN(1,($A59-Inputs!$B$9+1)/(Inputs!$B$10-Inputs!$B$9+1)))*Inputs!$B$4*$A$8-$B59</f>
        <v>16746866.6666667</v>
      </c>
      <c r="U59" s="40" t="n">
        <f aca="false">U58+IF($A59&lt;Inputs!$B$9,0,E$4*Inputs!$B$23*MIN(1,($A59-Inputs!$B$9+1)/(Inputs!$B$10-Inputs!$B$9+1)))*Inputs!$B$4*$A$8-$B59</f>
        <v>25012266.6666667</v>
      </c>
      <c r="V59" s="40" t="n">
        <f aca="false">V58+IF($A59&lt;Inputs!$B$9,0,F$4*Inputs!$B$23*MIN(1,($A59-Inputs!$B$9+1)/(Inputs!$B$10-Inputs!$B$9+1)))*Inputs!$B$4*$A$8-$B59</f>
        <v>33277666.6666667</v>
      </c>
    </row>
    <row r="60" customFormat="false" ht="15" hidden="false" customHeight="true" outlineLevel="0" collapsed="false">
      <c r="A60" s="14" t="n">
        <v>48</v>
      </c>
      <c r="B60" s="43" t="n">
        <f aca="false">Cashflow!B52</f>
        <v>395000</v>
      </c>
      <c r="C60" s="40" t="n">
        <f aca="false">C59+IF($A60&lt;Inputs!$B$9,0,B$4*Inputs!$B$23*MIN(1,($A60-Inputs!$B$9+1)/(Inputs!$B$10-Inputs!$B$9+1)))*Inputs!$B$4*$A$5-$B60</f>
        <v>-9254666.66666667</v>
      </c>
      <c r="D60" s="40" t="n">
        <f aca="false">D59+IF($A60&lt;Inputs!$B$9,0,C$4*Inputs!$B$23*MIN(1,($A60-Inputs!$B$9+1)/(Inputs!$B$10-Inputs!$B$9+1)))*Inputs!$B$4*$A$5-$B60</f>
        <v>-4392666.66666667</v>
      </c>
      <c r="E60" s="40" t="n">
        <f aca="false">E59+IF($A60&lt;Inputs!$B$9,0,D$4*Inputs!$B$23*MIN(1,($A60-Inputs!$B$9+1)/(Inputs!$B$10-Inputs!$B$9+1)))*Inputs!$B$4*$A$5-$B60</f>
        <v>469333.333333336</v>
      </c>
      <c r="F60" s="40" t="n">
        <f aca="false">F59+IF($A60&lt;Inputs!$B$9,0,E$4*Inputs!$B$23*MIN(1,($A60-Inputs!$B$9+1)/(Inputs!$B$10-Inputs!$B$9+1)))*Inputs!$B$4*$A$5-$B60</f>
        <v>5331333.33333334</v>
      </c>
      <c r="G60" s="40" t="n">
        <f aca="false">G59+IF($A60&lt;Inputs!$B$9,0,F$4*Inputs!$B$23*MIN(1,($A60-Inputs!$B$9+1)/(Inputs!$B$10-Inputs!$B$9+1)))*Inputs!$B$4*$A$5-$B60</f>
        <v>10193333.3333333</v>
      </c>
      <c r="H60" s="40" t="n">
        <f aca="false">H59+IF($A60&lt;Inputs!$B$9,0,B$4*Inputs!$B$23*MIN(1,($A60-Inputs!$B$9+1)/(Inputs!$B$10-Inputs!$B$9+1)))*Inputs!$B$4*$A$6-$B60</f>
        <v>-6013333.33333332</v>
      </c>
      <c r="I60" s="40" t="n">
        <f aca="false">I59+IF($A60&lt;Inputs!$B$9,0,C$4*Inputs!$B$23*MIN(1,($A60-Inputs!$B$9+1)/(Inputs!$B$10-Inputs!$B$9+1)))*Inputs!$B$4*$A$6-$B60</f>
        <v>64166.666666667</v>
      </c>
      <c r="J60" s="40" t="n">
        <f aca="false">J59+IF($A60&lt;Inputs!$B$9,0,D$4*Inputs!$B$23*MIN(1,($A60-Inputs!$B$9+1)/(Inputs!$B$10-Inputs!$B$9+1)))*Inputs!$B$4*$A$6-$B60</f>
        <v>6141666.66666666</v>
      </c>
      <c r="K60" s="40" t="n">
        <f aca="false">K59+IF($A60&lt;Inputs!$B$9,0,E$4*Inputs!$B$23*MIN(1,($A60-Inputs!$B$9+1)/(Inputs!$B$10-Inputs!$B$9+1)))*Inputs!$B$4*$A$6-$B60</f>
        <v>12219166.6666667</v>
      </c>
      <c r="L60" s="40" t="n">
        <f aca="false">L59+IF($A60&lt;Inputs!$B$9,0,F$4*Inputs!$B$23*MIN(1,($A60-Inputs!$B$9+1)/(Inputs!$B$10-Inputs!$B$9+1)))*Inputs!$B$4*$A$6-$B60</f>
        <v>18296666.6666667</v>
      </c>
      <c r="M60" s="40" t="n">
        <f aca="false">M59+IF($A60&lt;Inputs!$B$9,0,B$4*Inputs!$B$23*MIN(1,($A60-Inputs!$B$9+1)/(Inputs!$B$10-Inputs!$B$9+1)))*Inputs!$B$4*$A$7-$B60</f>
        <v>-2772000</v>
      </c>
      <c r="N60" s="40" t="n">
        <f aca="false">N59+IF($A60&lt;Inputs!$B$9,0,C$4*Inputs!$B$23*MIN(1,($A60-Inputs!$B$9+1)/(Inputs!$B$10-Inputs!$B$9+1)))*Inputs!$B$4*$A$7-$B60</f>
        <v>4521000</v>
      </c>
      <c r="O60" s="40" t="n">
        <f aca="false">O59+IF($A60&lt;Inputs!$B$9,0,D$4*Inputs!$B$23*MIN(1,($A60-Inputs!$B$9+1)/(Inputs!$B$10-Inputs!$B$9+1)))*Inputs!$B$4*$A$7-$B60</f>
        <v>11814000</v>
      </c>
      <c r="P60" s="40" t="n">
        <f aca="false">P59+IF($A60&lt;Inputs!$B$9,0,E$4*Inputs!$B$23*MIN(1,($A60-Inputs!$B$9+1)/(Inputs!$B$10-Inputs!$B$9+1)))*Inputs!$B$4*$A$7-$B60</f>
        <v>19107000</v>
      </c>
      <c r="Q60" s="40" t="n">
        <f aca="false">Q59+IF($A60&lt;Inputs!$B$9,0,F$4*Inputs!$B$23*MIN(1,($A60-Inputs!$B$9+1)/(Inputs!$B$10-Inputs!$B$9+1)))*Inputs!$B$4*$A$7-$B60</f>
        <v>26400000</v>
      </c>
      <c r="R60" s="40" t="n">
        <f aca="false">R59+IF($A60&lt;Inputs!$B$9,0,B$4*Inputs!$B$23*MIN(1,($A60-Inputs!$B$9+1)/(Inputs!$B$10-Inputs!$B$9+1)))*Inputs!$B$4*$A$8-$B60</f>
        <v>469333.333333342</v>
      </c>
      <c r="S60" s="40" t="n">
        <f aca="false">S59+IF($A60&lt;Inputs!$B$9,0,C$4*Inputs!$B$23*MIN(1,($A60-Inputs!$B$9+1)/(Inputs!$B$10-Inputs!$B$9+1)))*Inputs!$B$4*$A$8-$B60</f>
        <v>8977833.33333333</v>
      </c>
      <c r="T60" s="40" t="n">
        <f aca="false">T59+IF($A60&lt;Inputs!$B$9,0,D$4*Inputs!$B$23*MIN(1,($A60-Inputs!$B$9+1)/(Inputs!$B$10-Inputs!$B$9+1)))*Inputs!$B$4*$A$8-$B60</f>
        <v>17486333.3333333</v>
      </c>
      <c r="U60" s="40" t="n">
        <f aca="false">U59+IF($A60&lt;Inputs!$B$9,0,E$4*Inputs!$B$23*MIN(1,($A60-Inputs!$B$9+1)/(Inputs!$B$10-Inputs!$B$9+1)))*Inputs!$B$4*$A$8-$B60</f>
        <v>25994833.3333333</v>
      </c>
      <c r="V60" s="40" t="n">
        <f aca="false">V59+IF($A60&lt;Inputs!$B$9,0,F$4*Inputs!$B$23*MIN(1,($A60-Inputs!$B$9+1)/(Inputs!$B$10-Inputs!$B$9+1)))*Inputs!$B$4*$A$8-$B60</f>
        <v>34503333.3333333</v>
      </c>
    </row>
    <row r="61" customFormat="false" ht="15" hidden="false" customHeight="true" outlineLevel="0" collapsed="false">
      <c r="A61" s="14" t="n">
        <v>49</v>
      </c>
      <c r="B61" s="43" t="n">
        <f aca="false">Cashflow!B53</f>
        <v>395000</v>
      </c>
      <c r="C61" s="40" t="n">
        <f aca="false">C60+IF($A61&lt;Inputs!$B$9,0,B$4*Inputs!$B$23*MIN(1,($A61-Inputs!$B$9+1)/(Inputs!$B$10-Inputs!$B$9+1)))*Inputs!$B$4*$A$5-$B61</f>
        <v>-9279228.57142857</v>
      </c>
      <c r="D61" s="40" t="n">
        <f aca="false">D60+IF($A61&lt;Inputs!$B$9,0,C$4*Inputs!$B$23*MIN(1,($A61-Inputs!$B$9+1)/(Inputs!$B$10-Inputs!$B$9+1)))*Inputs!$B$4*$A$5-$B61</f>
        <v>-4278314.28571429</v>
      </c>
      <c r="E61" s="40" t="n">
        <f aca="false">E60+IF($A61&lt;Inputs!$B$9,0,D$4*Inputs!$B$23*MIN(1,($A61-Inputs!$B$9+1)/(Inputs!$B$10-Inputs!$B$9+1)))*Inputs!$B$4*$A$5-$B61</f>
        <v>722600.000000003</v>
      </c>
      <c r="F61" s="40" t="n">
        <f aca="false">F60+IF($A61&lt;Inputs!$B$9,0,E$4*Inputs!$B$23*MIN(1,($A61-Inputs!$B$9+1)/(Inputs!$B$10-Inputs!$B$9+1)))*Inputs!$B$4*$A$5-$B61</f>
        <v>5723514.28571429</v>
      </c>
      <c r="G61" s="40" t="n">
        <f aca="false">G60+IF($A61&lt;Inputs!$B$9,0,F$4*Inputs!$B$23*MIN(1,($A61-Inputs!$B$9+1)/(Inputs!$B$10-Inputs!$B$9+1)))*Inputs!$B$4*$A$5-$B61</f>
        <v>10724428.5714286</v>
      </c>
      <c r="H61" s="40" t="n">
        <f aca="false">H60+IF($A61&lt;Inputs!$B$9,0,B$4*Inputs!$B$23*MIN(1,($A61-Inputs!$B$9+1)/(Inputs!$B$10-Inputs!$B$9+1)))*Inputs!$B$4*$A$6-$B61</f>
        <v>-5945285.7142857</v>
      </c>
      <c r="I61" s="40" t="n">
        <f aca="false">I60+IF($A61&lt;Inputs!$B$9,0,C$4*Inputs!$B$23*MIN(1,($A61-Inputs!$B$9+1)/(Inputs!$B$10-Inputs!$B$9+1)))*Inputs!$B$4*$A$6-$B61</f>
        <v>305857.142857143</v>
      </c>
      <c r="J61" s="40" t="n">
        <f aca="false">J60+IF($A61&lt;Inputs!$B$9,0,D$4*Inputs!$B$23*MIN(1,($A61-Inputs!$B$9+1)/(Inputs!$B$10-Inputs!$B$9+1)))*Inputs!$B$4*$A$6-$B61</f>
        <v>6557000</v>
      </c>
      <c r="K61" s="40" t="n">
        <f aca="false">K60+IF($A61&lt;Inputs!$B$9,0,E$4*Inputs!$B$23*MIN(1,($A61-Inputs!$B$9+1)/(Inputs!$B$10-Inputs!$B$9+1)))*Inputs!$B$4*$A$6-$B61</f>
        <v>12808142.8571429</v>
      </c>
      <c r="L61" s="40" t="n">
        <f aca="false">L60+IF($A61&lt;Inputs!$B$9,0,F$4*Inputs!$B$23*MIN(1,($A61-Inputs!$B$9+1)/(Inputs!$B$10-Inputs!$B$9+1)))*Inputs!$B$4*$A$6-$B61</f>
        <v>19059285.7142857</v>
      </c>
      <c r="M61" s="40" t="n">
        <f aca="false">M60+IF($A61&lt;Inputs!$B$9,0,B$4*Inputs!$B$23*MIN(1,($A61-Inputs!$B$9+1)/(Inputs!$B$10-Inputs!$B$9+1)))*Inputs!$B$4*$A$7-$B61</f>
        <v>-2611342.85714286</v>
      </c>
      <c r="N61" s="40" t="n">
        <f aca="false">N60+IF($A61&lt;Inputs!$B$9,0,C$4*Inputs!$B$23*MIN(1,($A61-Inputs!$B$9+1)/(Inputs!$B$10-Inputs!$B$9+1)))*Inputs!$B$4*$A$7-$B61</f>
        <v>4890028.57142858</v>
      </c>
      <c r="O61" s="40" t="n">
        <f aca="false">O60+IF($A61&lt;Inputs!$B$9,0,D$4*Inputs!$B$23*MIN(1,($A61-Inputs!$B$9+1)/(Inputs!$B$10-Inputs!$B$9+1)))*Inputs!$B$4*$A$7-$B61</f>
        <v>12391400</v>
      </c>
      <c r="P61" s="40" t="n">
        <f aca="false">P60+IF($A61&lt;Inputs!$B$9,0,E$4*Inputs!$B$23*MIN(1,($A61-Inputs!$B$9+1)/(Inputs!$B$10-Inputs!$B$9+1)))*Inputs!$B$4*$A$7-$B61</f>
        <v>19892771.4285714</v>
      </c>
      <c r="Q61" s="40" t="n">
        <f aca="false">Q60+IF($A61&lt;Inputs!$B$9,0,F$4*Inputs!$B$23*MIN(1,($A61-Inputs!$B$9+1)/(Inputs!$B$10-Inputs!$B$9+1)))*Inputs!$B$4*$A$7-$B61</f>
        <v>27394142.8571429</v>
      </c>
      <c r="R61" s="40" t="n">
        <f aca="false">R60+IF($A61&lt;Inputs!$B$9,0,B$4*Inputs!$B$23*MIN(1,($A61-Inputs!$B$9+1)/(Inputs!$B$10-Inputs!$B$9+1)))*Inputs!$B$4*$A$8-$B61</f>
        <v>722600.000000008</v>
      </c>
      <c r="S61" s="40" t="n">
        <f aca="false">S60+IF($A61&lt;Inputs!$B$9,0,C$4*Inputs!$B$23*MIN(1,($A61-Inputs!$B$9+1)/(Inputs!$B$10-Inputs!$B$9+1)))*Inputs!$B$4*$A$8-$B61</f>
        <v>9474200</v>
      </c>
      <c r="T61" s="40" t="n">
        <f aca="false">T60+IF($A61&lt;Inputs!$B$9,0,D$4*Inputs!$B$23*MIN(1,($A61-Inputs!$B$9+1)/(Inputs!$B$10-Inputs!$B$9+1)))*Inputs!$B$4*$A$8-$B61</f>
        <v>18225800</v>
      </c>
      <c r="U61" s="40" t="n">
        <f aca="false">U60+IF($A61&lt;Inputs!$B$9,0,E$4*Inputs!$B$23*MIN(1,($A61-Inputs!$B$9+1)/(Inputs!$B$10-Inputs!$B$9+1)))*Inputs!$B$4*$A$8-$B61</f>
        <v>26977400</v>
      </c>
      <c r="V61" s="40" t="n">
        <f aca="false">V60+IF($A61&lt;Inputs!$B$9,0,F$4*Inputs!$B$23*MIN(1,($A61-Inputs!$B$9+1)/(Inputs!$B$10-Inputs!$B$9+1)))*Inputs!$B$4*$A$8-$B61</f>
        <v>35729000</v>
      </c>
    </row>
    <row r="62" customFormat="false" ht="15" hidden="false" customHeight="true" outlineLevel="0" collapsed="false">
      <c r="A62" s="14" t="n">
        <v>50</v>
      </c>
      <c r="B62" s="43" t="n">
        <f aca="false">Cashflow!B54</f>
        <v>395000</v>
      </c>
      <c r="C62" s="40" t="n">
        <f aca="false">C61+IF($A62&lt;Inputs!$B$9,0,B$4*Inputs!$B$23*MIN(1,($A62-Inputs!$B$9+1)/(Inputs!$B$10-Inputs!$B$9+1)))*Inputs!$B$4*$A$5-$B62</f>
        <v>-9303790.47619048</v>
      </c>
      <c r="D62" s="40" t="n">
        <f aca="false">D61+IF($A62&lt;Inputs!$B$9,0,C$4*Inputs!$B$23*MIN(1,($A62-Inputs!$B$9+1)/(Inputs!$B$10-Inputs!$B$9+1)))*Inputs!$B$4*$A$5-$B62</f>
        <v>-4163961.90476191</v>
      </c>
      <c r="E62" s="40" t="n">
        <f aca="false">E61+IF($A62&lt;Inputs!$B$9,0,D$4*Inputs!$B$23*MIN(1,($A62-Inputs!$B$9+1)/(Inputs!$B$10-Inputs!$B$9+1)))*Inputs!$B$4*$A$5-$B62</f>
        <v>975866.666666669</v>
      </c>
      <c r="F62" s="40" t="n">
        <f aca="false">F61+IF($A62&lt;Inputs!$B$9,0,E$4*Inputs!$B$23*MIN(1,($A62-Inputs!$B$9+1)/(Inputs!$B$10-Inputs!$B$9+1)))*Inputs!$B$4*$A$5-$B62</f>
        <v>6115695.23809524</v>
      </c>
      <c r="G62" s="40" t="n">
        <f aca="false">G61+IF($A62&lt;Inputs!$B$9,0,F$4*Inputs!$B$23*MIN(1,($A62-Inputs!$B$9+1)/(Inputs!$B$10-Inputs!$B$9+1)))*Inputs!$B$4*$A$5-$B62</f>
        <v>11255523.8095238</v>
      </c>
      <c r="H62" s="40" t="n">
        <f aca="false">H61+IF($A62&lt;Inputs!$B$9,0,B$4*Inputs!$B$23*MIN(1,($A62-Inputs!$B$9+1)/(Inputs!$B$10-Inputs!$B$9+1)))*Inputs!$B$4*$A$6-$B62</f>
        <v>-5877238.09523808</v>
      </c>
      <c r="I62" s="40" t="n">
        <f aca="false">I61+IF($A62&lt;Inputs!$B$9,0,C$4*Inputs!$B$23*MIN(1,($A62-Inputs!$B$9+1)/(Inputs!$B$10-Inputs!$B$9+1)))*Inputs!$B$4*$A$6-$B62</f>
        <v>547547.619047619</v>
      </c>
      <c r="J62" s="40" t="n">
        <f aca="false">J61+IF($A62&lt;Inputs!$B$9,0,D$4*Inputs!$B$23*MIN(1,($A62-Inputs!$B$9+1)/(Inputs!$B$10-Inputs!$B$9+1)))*Inputs!$B$4*$A$6-$B62</f>
        <v>6972333.33333333</v>
      </c>
      <c r="K62" s="40" t="n">
        <f aca="false">K61+IF($A62&lt;Inputs!$B$9,0,E$4*Inputs!$B$23*MIN(1,($A62-Inputs!$B$9+1)/(Inputs!$B$10-Inputs!$B$9+1)))*Inputs!$B$4*$A$6-$B62</f>
        <v>13397119.047619</v>
      </c>
      <c r="L62" s="40" t="n">
        <f aca="false">L61+IF($A62&lt;Inputs!$B$9,0,F$4*Inputs!$B$23*MIN(1,($A62-Inputs!$B$9+1)/(Inputs!$B$10-Inputs!$B$9+1)))*Inputs!$B$4*$A$6-$B62</f>
        <v>19821904.7619048</v>
      </c>
      <c r="M62" s="40" t="n">
        <f aca="false">M61+IF($A62&lt;Inputs!$B$9,0,B$4*Inputs!$B$23*MIN(1,($A62-Inputs!$B$9+1)/(Inputs!$B$10-Inputs!$B$9+1)))*Inputs!$B$4*$A$7-$B62</f>
        <v>-2450685.71428572</v>
      </c>
      <c r="N62" s="40" t="n">
        <f aca="false">N61+IF($A62&lt;Inputs!$B$9,0,C$4*Inputs!$B$23*MIN(1,($A62-Inputs!$B$9+1)/(Inputs!$B$10-Inputs!$B$9+1)))*Inputs!$B$4*$A$7-$B62</f>
        <v>5259057.14285715</v>
      </c>
      <c r="O62" s="40" t="n">
        <f aca="false">O61+IF($A62&lt;Inputs!$B$9,0,D$4*Inputs!$B$23*MIN(1,($A62-Inputs!$B$9+1)/(Inputs!$B$10-Inputs!$B$9+1)))*Inputs!$B$4*$A$7-$B62</f>
        <v>12968800</v>
      </c>
      <c r="P62" s="40" t="n">
        <f aca="false">P61+IF($A62&lt;Inputs!$B$9,0,E$4*Inputs!$B$23*MIN(1,($A62-Inputs!$B$9+1)/(Inputs!$B$10-Inputs!$B$9+1)))*Inputs!$B$4*$A$7-$B62</f>
        <v>20678542.8571429</v>
      </c>
      <c r="Q62" s="40" t="n">
        <f aca="false">Q61+IF($A62&lt;Inputs!$B$9,0,F$4*Inputs!$B$23*MIN(1,($A62-Inputs!$B$9+1)/(Inputs!$B$10-Inputs!$B$9+1)))*Inputs!$B$4*$A$7-$B62</f>
        <v>28388285.7142857</v>
      </c>
      <c r="R62" s="40" t="n">
        <f aca="false">R61+IF($A62&lt;Inputs!$B$9,0,B$4*Inputs!$B$23*MIN(1,($A62-Inputs!$B$9+1)/(Inputs!$B$10-Inputs!$B$9+1)))*Inputs!$B$4*$A$8-$B62</f>
        <v>975866.666666675</v>
      </c>
      <c r="S62" s="40" t="n">
        <f aca="false">S61+IF($A62&lt;Inputs!$B$9,0,C$4*Inputs!$B$23*MIN(1,($A62-Inputs!$B$9+1)/(Inputs!$B$10-Inputs!$B$9+1)))*Inputs!$B$4*$A$8-$B62</f>
        <v>9970566.66666666</v>
      </c>
      <c r="T62" s="40" t="n">
        <f aca="false">T61+IF($A62&lt;Inputs!$B$9,0,D$4*Inputs!$B$23*MIN(1,($A62-Inputs!$B$9+1)/(Inputs!$B$10-Inputs!$B$9+1)))*Inputs!$B$4*$A$8-$B62</f>
        <v>18965266.6666667</v>
      </c>
      <c r="U62" s="40" t="n">
        <f aca="false">U61+IF($A62&lt;Inputs!$B$9,0,E$4*Inputs!$B$23*MIN(1,($A62-Inputs!$B$9+1)/(Inputs!$B$10-Inputs!$B$9+1)))*Inputs!$B$4*$A$8-$B62</f>
        <v>27959966.6666667</v>
      </c>
      <c r="V62" s="40" t="n">
        <f aca="false">V61+IF($A62&lt;Inputs!$B$9,0,F$4*Inputs!$B$23*MIN(1,($A62-Inputs!$B$9+1)/(Inputs!$B$10-Inputs!$B$9+1)))*Inputs!$B$4*$A$8-$B62</f>
        <v>36954666.6666667</v>
      </c>
    </row>
    <row r="63" customFormat="false" ht="15" hidden="false" customHeight="true" outlineLevel="0" collapsed="false">
      <c r="A63" s="14" t="n">
        <v>51</v>
      </c>
      <c r="B63" s="43" t="n">
        <f aca="false">Cashflow!B55</f>
        <v>395000</v>
      </c>
      <c r="C63" s="40" t="n">
        <f aca="false">C62+IF($A63&lt;Inputs!$B$9,0,B$4*Inputs!$B$23*MIN(1,($A63-Inputs!$B$9+1)/(Inputs!$B$10-Inputs!$B$9+1)))*Inputs!$B$4*$A$5-$B63</f>
        <v>-9328352.38095238</v>
      </c>
      <c r="D63" s="40" t="n">
        <f aca="false">D62+IF($A63&lt;Inputs!$B$9,0,C$4*Inputs!$B$23*MIN(1,($A63-Inputs!$B$9+1)/(Inputs!$B$10-Inputs!$B$9+1)))*Inputs!$B$4*$A$5-$B63</f>
        <v>-4049609.52380953</v>
      </c>
      <c r="E63" s="40" t="n">
        <f aca="false">E62+IF($A63&lt;Inputs!$B$9,0,D$4*Inputs!$B$23*MIN(1,($A63-Inputs!$B$9+1)/(Inputs!$B$10-Inputs!$B$9+1)))*Inputs!$B$4*$A$5-$B63</f>
        <v>1229133.33333334</v>
      </c>
      <c r="F63" s="40" t="n">
        <f aca="false">F62+IF($A63&lt;Inputs!$B$9,0,E$4*Inputs!$B$23*MIN(1,($A63-Inputs!$B$9+1)/(Inputs!$B$10-Inputs!$B$9+1)))*Inputs!$B$4*$A$5-$B63</f>
        <v>6507876.19047619</v>
      </c>
      <c r="G63" s="40" t="n">
        <f aca="false">G62+IF($A63&lt;Inputs!$B$9,0,F$4*Inputs!$B$23*MIN(1,($A63-Inputs!$B$9+1)/(Inputs!$B$10-Inputs!$B$9+1)))*Inputs!$B$4*$A$5-$B63</f>
        <v>11786619.0476191</v>
      </c>
      <c r="H63" s="40" t="n">
        <f aca="false">H62+IF($A63&lt;Inputs!$B$9,0,B$4*Inputs!$B$23*MIN(1,($A63-Inputs!$B$9+1)/(Inputs!$B$10-Inputs!$B$9+1)))*Inputs!$B$4*$A$6-$B63</f>
        <v>-5809190.47619046</v>
      </c>
      <c r="I63" s="40" t="n">
        <f aca="false">I62+IF($A63&lt;Inputs!$B$9,0,C$4*Inputs!$B$23*MIN(1,($A63-Inputs!$B$9+1)/(Inputs!$B$10-Inputs!$B$9+1)))*Inputs!$B$4*$A$6-$B63</f>
        <v>789238.095238096</v>
      </c>
      <c r="J63" s="40" t="n">
        <f aca="false">J62+IF($A63&lt;Inputs!$B$9,0,D$4*Inputs!$B$23*MIN(1,($A63-Inputs!$B$9+1)/(Inputs!$B$10-Inputs!$B$9+1)))*Inputs!$B$4*$A$6-$B63</f>
        <v>7387666.66666666</v>
      </c>
      <c r="K63" s="40" t="n">
        <f aca="false">K62+IF($A63&lt;Inputs!$B$9,0,E$4*Inputs!$B$23*MIN(1,($A63-Inputs!$B$9+1)/(Inputs!$B$10-Inputs!$B$9+1)))*Inputs!$B$4*$A$6-$B63</f>
        <v>13986095.2380952</v>
      </c>
      <c r="L63" s="40" t="n">
        <f aca="false">L62+IF($A63&lt;Inputs!$B$9,0,F$4*Inputs!$B$23*MIN(1,($A63-Inputs!$B$9+1)/(Inputs!$B$10-Inputs!$B$9+1)))*Inputs!$B$4*$A$6-$B63</f>
        <v>20584523.8095238</v>
      </c>
      <c r="M63" s="40" t="n">
        <f aca="false">M62+IF($A63&lt;Inputs!$B$9,0,B$4*Inputs!$B$23*MIN(1,($A63-Inputs!$B$9+1)/(Inputs!$B$10-Inputs!$B$9+1)))*Inputs!$B$4*$A$7-$B63</f>
        <v>-2290028.57142857</v>
      </c>
      <c r="N63" s="40" t="n">
        <f aca="false">N62+IF($A63&lt;Inputs!$B$9,0,C$4*Inputs!$B$23*MIN(1,($A63-Inputs!$B$9+1)/(Inputs!$B$10-Inputs!$B$9+1)))*Inputs!$B$4*$A$7-$B63</f>
        <v>5628085.71428572</v>
      </c>
      <c r="O63" s="40" t="n">
        <f aca="false">O62+IF($A63&lt;Inputs!$B$9,0,D$4*Inputs!$B$23*MIN(1,($A63-Inputs!$B$9+1)/(Inputs!$B$10-Inputs!$B$9+1)))*Inputs!$B$4*$A$7-$B63</f>
        <v>13546200</v>
      </c>
      <c r="P63" s="40" t="n">
        <f aca="false">P62+IF($A63&lt;Inputs!$B$9,0,E$4*Inputs!$B$23*MIN(1,($A63-Inputs!$B$9+1)/(Inputs!$B$10-Inputs!$B$9+1)))*Inputs!$B$4*$A$7-$B63</f>
        <v>21464314.2857143</v>
      </c>
      <c r="Q63" s="40" t="n">
        <f aca="false">Q62+IF($A63&lt;Inputs!$B$9,0,F$4*Inputs!$B$23*MIN(1,($A63-Inputs!$B$9+1)/(Inputs!$B$10-Inputs!$B$9+1)))*Inputs!$B$4*$A$7-$B63</f>
        <v>29382428.5714286</v>
      </c>
      <c r="R63" s="40" t="n">
        <f aca="false">R62+IF($A63&lt;Inputs!$B$9,0,B$4*Inputs!$B$23*MIN(1,($A63-Inputs!$B$9+1)/(Inputs!$B$10-Inputs!$B$9+1)))*Inputs!$B$4*$A$8-$B63</f>
        <v>1229133.33333334</v>
      </c>
      <c r="S63" s="40" t="n">
        <f aca="false">S62+IF($A63&lt;Inputs!$B$9,0,C$4*Inputs!$B$23*MIN(1,($A63-Inputs!$B$9+1)/(Inputs!$B$10-Inputs!$B$9+1)))*Inputs!$B$4*$A$8-$B63</f>
        <v>10466933.3333333</v>
      </c>
      <c r="T63" s="40" t="n">
        <f aca="false">T62+IF($A63&lt;Inputs!$B$9,0,D$4*Inputs!$B$23*MIN(1,($A63-Inputs!$B$9+1)/(Inputs!$B$10-Inputs!$B$9+1)))*Inputs!$B$4*$A$8-$B63</f>
        <v>19704733.3333333</v>
      </c>
      <c r="U63" s="40" t="n">
        <f aca="false">U62+IF($A63&lt;Inputs!$B$9,0,E$4*Inputs!$B$23*MIN(1,($A63-Inputs!$B$9+1)/(Inputs!$B$10-Inputs!$B$9+1)))*Inputs!$B$4*$A$8-$B63</f>
        <v>28942533.3333333</v>
      </c>
      <c r="V63" s="40" t="n">
        <f aca="false">V62+IF($A63&lt;Inputs!$B$9,0,F$4*Inputs!$B$23*MIN(1,($A63-Inputs!$B$9+1)/(Inputs!$B$10-Inputs!$B$9+1)))*Inputs!$B$4*$A$8-$B63</f>
        <v>38180333.3333333</v>
      </c>
    </row>
    <row r="64" customFormat="false" ht="15" hidden="false" customHeight="true" outlineLevel="0" collapsed="false">
      <c r="A64" s="14" t="n">
        <v>52</v>
      </c>
      <c r="B64" s="43" t="n">
        <f aca="false">Cashflow!B56</f>
        <v>395000</v>
      </c>
      <c r="C64" s="40" t="n">
        <f aca="false">C63+IF($A64&lt;Inputs!$B$9,0,B$4*Inputs!$B$23*MIN(1,($A64-Inputs!$B$9+1)/(Inputs!$B$10-Inputs!$B$9+1)))*Inputs!$B$4*$A$5-$B64</f>
        <v>-9352914.28571429</v>
      </c>
      <c r="D64" s="40" t="n">
        <f aca="false">D63+IF($A64&lt;Inputs!$B$9,0,C$4*Inputs!$B$23*MIN(1,($A64-Inputs!$B$9+1)/(Inputs!$B$10-Inputs!$B$9+1)))*Inputs!$B$4*$A$5-$B64</f>
        <v>-3935257.14285715</v>
      </c>
      <c r="E64" s="40" t="n">
        <f aca="false">E63+IF($A64&lt;Inputs!$B$9,0,D$4*Inputs!$B$23*MIN(1,($A64-Inputs!$B$9+1)/(Inputs!$B$10-Inputs!$B$9+1)))*Inputs!$B$4*$A$5-$B64</f>
        <v>1482400</v>
      </c>
      <c r="F64" s="40" t="n">
        <f aca="false">F63+IF($A64&lt;Inputs!$B$9,0,E$4*Inputs!$B$23*MIN(1,($A64-Inputs!$B$9+1)/(Inputs!$B$10-Inputs!$B$9+1)))*Inputs!$B$4*$A$5-$B64</f>
        <v>6900057.14285715</v>
      </c>
      <c r="G64" s="40" t="n">
        <f aca="false">G63+IF($A64&lt;Inputs!$B$9,0,F$4*Inputs!$B$23*MIN(1,($A64-Inputs!$B$9+1)/(Inputs!$B$10-Inputs!$B$9+1)))*Inputs!$B$4*$A$5-$B64</f>
        <v>12317714.2857143</v>
      </c>
      <c r="H64" s="40" t="n">
        <f aca="false">H63+IF($A64&lt;Inputs!$B$9,0,B$4*Inputs!$B$23*MIN(1,($A64-Inputs!$B$9+1)/(Inputs!$B$10-Inputs!$B$9+1)))*Inputs!$B$4*$A$6-$B64</f>
        <v>-5741142.85714284</v>
      </c>
      <c r="I64" s="40" t="n">
        <f aca="false">I63+IF($A64&lt;Inputs!$B$9,0,C$4*Inputs!$B$23*MIN(1,($A64-Inputs!$B$9+1)/(Inputs!$B$10-Inputs!$B$9+1)))*Inputs!$B$4*$A$6-$B64</f>
        <v>1030928.57142857</v>
      </c>
      <c r="J64" s="40" t="n">
        <f aca="false">J63+IF($A64&lt;Inputs!$B$9,0,D$4*Inputs!$B$23*MIN(1,($A64-Inputs!$B$9+1)/(Inputs!$B$10-Inputs!$B$9+1)))*Inputs!$B$4*$A$6-$B64</f>
        <v>7803000</v>
      </c>
      <c r="K64" s="40" t="n">
        <f aca="false">K63+IF($A64&lt;Inputs!$B$9,0,E$4*Inputs!$B$23*MIN(1,($A64-Inputs!$B$9+1)/(Inputs!$B$10-Inputs!$B$9+1)))*Inputs!$B$4*$A$6-$B64</f>
        <v>14575071.4285714</v>
      </c>
      <c r="L64" s="40" t="n">
        <f aca="false">L63+IF($A64&lt;Inputs!$B$9,0,F$4*Inputs!$B$23*MIN(1,($A64-Inputs!$B$9+1)/(Inputs!$B$10-Inputs!$B$9+1)))*Inputs!$B$4*$A$6-$B64</f>
        <v>21347142.8571429</v>
      </c>
      <c r="M64" s="40" t="n">
        <f aca="false">M63+IF($A64&lt;Inputs!$B$9,0,B$4*Inputs!$B$23*MIN(1,($A64-Inputs!$B$9+1)/(Inputs!$B$10-Inputs!$B$9+1)))*Inputs!$B$4*$A$7-$B64</f>
        <v>-2129371.42857143</v>
      </c>
      <c r="N64" s="40" t="n">
        <f aca="false">N63+IF($A64&lt;Inputs!$B$9,0,C$4*Inputs!$B$23*MIN(1,($A64-Inputs!$B$9+1)/(Inputs!$B$10-Inputs!$B$9+1)))*Inputs!$B$4*$A$7-$B64</f>
        <v>5997114.28571429</v>
      </c>
      <c r="O64" s="40" t="n">
        <f aca="false">O63+IF($A64&lt;Inputs!$B$9,0,D$4*Inputs!$B$23*MIN(1,($A64-Inputs!$B$9+1)/(Inputs!$B$10-Inputs!$B$9+1)))*Inputs!$B$4*$A$7-$B64</f>
        <v>14123600</v>
      </c>
      <c r="P64" s="40" t="n">
        <f aca="false">P63+IF($A64&lt;Inputs!$B$9,0,E$4*Inputs!$B$23*MIN(1,($A64-Inputs!$B$9+1)/(Inputs!$B$10-Inputs!$B$9+1)))*Inputs!$B$4*$A$7-$B64</f>
        <v>22250085.7142857</v>
      </c>
      <c r="Q64" s="40" t="n">
        <f aca="false">Q63+IF($A64&lt;Inputs!$B$9,0,F$4*Inputs!$B$23*MIN(1,($A64-Inputs!$B$9+1)/(Inputs!$B$10-Inputs!$B$9+1)))*Inputs!$B$4*$A$7-$B64</f>
        <v>30376571.4285714</v>
      </c>
      <c r="R64" s="40" t="n">
        <f aca="false">R63+IF($A64&lt;Inputs!$B$9,0,B$4*Inputs!$B$23*MIN(1,($A64-Inputs!$B$9+1)/(Inputs!$B$10-Inputs!$B$9+1)))*Inputs!$B$4*$A$8-$B64</f>
        <v>1482400.00000001</v>
      </c>
      <c r="S64" s="40" t="n">
        <f aca="false">S63+IF($A64&lt;Inputs!$B$9,0,C$4*Inputs!$B$23*MIN(1,($A64-Inputs!$B$9+1)/(Inputs!$B$10-Inputs!$B$9+1)))*Inputs!$B$4*$A$8-$B64</f>
        <v>10963300</v>
      </c>
      <c r="T64" s="40" t="n">
        <f aca="false">T63+IF($A64&lt;Inputs!$B$9,0,D$4*Inputs!$B$23*MIN(1,($A64-Inputs!$B$9+1)/(Inputs!$B$10-Inputs!$B$9+1)))*Inputs!$B$4*$A$8-$B64</f>
        <v>20444200</v>
      </c>
      <c r="U64" s="40" t="n">
        <f aca="false">U63+IF($A64&lt;Inputs!$B$9,0,E$4*Inputs!$B$23*MIN(1,($A64-Inputs!$B$9+1)/(Inputs!$B$10-Inputs!$B$9+1)))*Inputs!$B$4*$A$8-$B64</f>
        <v>29925100</v>
      </c>
      <c r="V64" s="40" t="n">
        <f aca="false">V63+IF($A64&lt;Inputs!$B$9,0,F$4*Inputs!$B$23*MIN(1,($A64-Inputs!$B$9+1)/(Inputs!$B$10-Inputs!$B$9+1)))*Inputs!$B$4*$A$8-$B64</f>
        <v>39406000</v>
      </c>
    </row>
    <row r="65" customFormat="false" ht="15" hidden="false" customHeight="true" outlineLevel="0" collapsed="false">
      <c r="A65" s="14" t="n">
        <v>53</v>
      </c>
      <c r="B65" s="43" t="n">
        <f aca="false">Cashflow!B57</f>
        <v>395000</v>
      </c>
      <c r="C65" s="40" t="n">
        <f aca="false">C64+IF($A65&lt;Inputs!$B$9,0,B$4*Inputs!$B$23*MIN(1,($A65-Inputs!$B$9+1)/(Inputs!$B$10-Inputs!$B$9+1)))*Inputs!$B$4*$A$5-$B65</f>
        <v>-9377476.19047619</v>
      </c>
      <c r="D65" s="40" t="n">
        <f aca="false">D64+IF($A65&lt;Inputs!$B$9,0,C$4*Inputs!$B$23*MIN(1,($A65-Inputs!$B$9+1)/(Inputs!$B$10-Inputs!$B$9+1)))*Inputs!$B$4*$A$5-$B65</f>
        <v>-3820904.76190477</v>
      </c>
      <c r="E65" s="40" t="n">
        <f aca="false">E64+IF($A65&lt;Inputs!$B$9,0,D$4*Inputs!$B$23*MIN(1,($A65-Inputs!$B$9+1)/(Inputs!$B$10-Inputs!$B$9+1)))*Inputs!$B$4*$A$5-$B65</f>
        <v>1735666.66666667</v>
      </c>
      <c r="F65" s="40" t="n">
        <f aca="false">F64+IF($A65&lt;Inputs!$B$9,0,E$4*Inputs!$B$23*MIN(1,($A65-Inputs!$B$9+1)/(Inputs!$B$10-Inputs!$B$9+1)))*Inputs!$B$4*$A$5-$B65</f>
        <v>7292238.0952381</v>
      </c>
      <c r="G65" s="40" t="n">
        <f aca="false">G64+IF($A65&lt;Inputs!$B$9,0,F$4*Inputs!$B$23*MIN(1,($A65-Inputs!$B$9+1)/(Inputs!$B$10-Inputs!$B$9+1)))*Inputs!$B$4*$A$5-$B65</f>
        <v>12848809.5238095</v>
      </c>
      <c r="H65" s="40" t="n">
        <f aca="false">H64+IF($A65&lt;Inputs!$B$9,0,B$4*Inputs!$B$23*MIN(1,($A65-Inputs!$B$9+1)/(Inputs!$B$10-Inputs!$B$9+1)))*Inputs!$B$4*$A$6-$B65</f>
        <v>-5673095.23809523</v>
      </c>
      <c r="I65" s="40" t="n">
        <f aca="false">I64+IF($A65&lt;Inputs!$B$9,0,C$4*Inputs!$B$23*MIN(1,($A65-Inputs!$B$9+1)/(Inputs!$B$10-Inputs!$B$9+1)))*Inputs!$B$4*$A$6-$B65</f>
        <v>1272619.04761905</v>
      </c>
      <c r="J65" s="40" t="n">
        <f aca="false">J64+IF($A65&lt;Inputs!$B$9,0,D$4*Inputs!$B$23*MIN(1,($A65-Inputs!$B$9+1)/(Inputs!$B$10-Inputs!$B$9+1)))*Inputs!$B$4*$A$6-$B65</f>
        <v>8218333.33333333</v>
      </c>
      <c r="K65" s="40" t="n">
        <f aca="false">K64+IF($A65&lt;Inputs!$B$9,0,E$4*Inputs!$B$23*MIN(1,($A65-Inputs!$B$9+1)/(Inputs!$B$10-Inputs!$B$9+1)))*Inputs!$B$4*$A$6-$B65</f>
        <v>15164047.6190476</v>
      </c>
      <c r="L65" s="40" t="n">
        <f aca="false">L64+IF($A65&lt;Inputs!$B$9,0,F$4*Inputs!$B$23*MIN(1,($A65-Inputs!$B$9+1)/(Inputs!$B$10-Inputs!$B$9+1)))*Inputs!$B$4*$A$6-$B65</f>
        <v>22109761.9047619</v>
      </c>
      <c r="M65" s="40" t="n">
        <f aca="false">M64+IF($A65&lt;Inputs!$B$9,0,B$4*Inputs!$B$23*MIN(1,($A65-Inputs!$B$9+1)/(Inputs!$B$10-Inputs!$B$9+1)))*Inputs!$B$4*$A$7-$B65</f>
        <v>-1968714.28571429</v>
      </c>
      <c r="N65" s="40" t="n">
        <f aca="false">N64+IF($A65&lt;Inputs!$B$9,0,C$4*Inputs!$B$23*MIN(1,($A65-Inputs!$B$9+1)/(Inputs!$B$10-Inputs!$B$9+1)))*Inputs!$B$4*$A$7-$B65</f>
        <v>6366142.85714286</v>
      </c>
      <c r="O65" s="40" t="n">
        <f aca="false">O64+IF($A65&lt;Inputs!$B$9,0,D$4*Inputs!$B$23*MIN(1,($A65-Inputs!$B$9+1)/(Inputs!$B$10-Inputs!$B$9+1)))*Inputs!$B$4*$A$7-$B65</f>
        <v>14701000</v>
      </c>
      <c r="P65" s="40" t="n">
        <f aca="false">P64+IF($A65&lt;Inputs!$B$9,0,E$4*Inputs!$B$23*MIN(1,($A65-Inputs!$B$9+1)/(Inputs!$B$10-Inputs!$B$9+1)))*Inputs!$B$4*$A$7-$B65</f>
        <v>23035857.1428572</v>
      </c>
      <c r="Q65" s="40" t="n">
        <f aca="false">Q64+IF($A65&lt;Inputs!$B$9,0,F$4*Inputs!$B$23*MIN(1,($A65-Inputs!$B$9+1)/(Inputs!$B$10-Inputs!$B$9+1)))*Inputs!$B$4*$A$7-$B65</f>
        <v>31370714.2857143</v>
      </c>
      <c r="R65" s="40" t="n">
        <f aca="false">R64+IF($A65&lt;Inputs!$B$9,0,B$4*Inputs!$B$23*MIN(1,($A65-Inputs!$B$9+1)/(Inputs!$B$10-Inputs!$B$9+1)))*Inputs!$B$4*$A$8-$B65</f>
        <v>1735666.66666668</v>
      </c>
      <c r="S65" s="40" t="n">
        <f aca="false">S64+IF($A65&lt;Inputs!$B$9,0,C$4*Inputs!$B$23*MIN(1,($A65-Inputs!$B$9+1)/(Inputs!$B$10-Inputs!$B$9+1)))*Inputs!$B$4*$A$8-$B65</f>
        <v>11459666.6666667</v>
      </c>
      <c r="T65" s="40" t="n">
        <f aca="false">T64+IF($A65&lt;Inputs!$B$9,0,D$4*Inputs!$B$23*MIN(1,($A65-Inputs!$B$9+1)/(Inputs!$B$10-Inputs!$B$9+1)))*Inputs!$B$4*$A$8-$B65</f>
        <v>21183666.6666667</v>
      </c>
      <c r="U65" s="40" t="n">
        <f aca="false">U64+IF($A65&lt;Inputs!$B$9,0,E$4*Inputs!$B$23*MIN(1,($A65-Inputs!$B$9+1)/(Inputs!$B$10-Inputs!$B$9+1)))*Inputs!$B$4*$A$8-$B65</f>
        <v>30907666.6666667</v>
      </c>
      <c r="V65" s="40" t="n">
        <f aca="false">V64+IF($A65&lt;Inputs!$B$9,0,F$4*Inputs!$B$23*MIN(1,($A65-Inputs!$B$9+1)/(Inputs!$B$10-Inputs!$B$9+1)))*Inputs!$B$4*$A$8-$B65</f>
        <v>40631666.6666667</v>
      </c>
    </row>
    <row r="66" customFormat="false" ht="15" hidden="false" customHeight="true" outlineLevel="0" collapsed="false">
      <c r="A66" s="14" t="n">
        <v>54</v>
      </c>
      <c r="B66" s="43" t="n">
        <f aca="false">Cashflow!B58</f>
        <v>395000</v>
      </c>
      <c r="C66" s="40" t="n">
        <f aca="false">C65+IF($A66&lt;Inputs!$B$9,0,B$4*Inputs!$B$23*MIN(1,($A66-Inputs!$B$9+1)/(Inputs!$B$10-Inputs!$B$9+1)))*Inputs!$B$4*$A$5-$B66</f>
        <v>-9402038.0952381</v>
      </c>
      <c r="D66" s="40" t="n">
        <f aca="false">D65+IF($A66&lt;Inputs!$B$9,0,C$4*Inputs!$B$23*MIN(1,($A66-Inputs!$B$9+1)/(Inputs!$B$10-Inputs!$B$9+1)))*Inputs!$B$4*$A$5-$B66</f>
        <v>-3706552.38095239</v>
      </c>
      <c r="E66" s="40" t="n">
        <f aca="false">E65+IF($A66&lt;Inputs!$B$9,0,D$4*Inputs!$B$23*MIN(1,($A66-Inputs!$B$9+1)/(Inputs!$B$10-Inputs!$B$9+1)))*Inputs!$B$4*$A$5-$B66</f>
        <v>1988933.33333334</v>
      </c>
      <c r="F66" s="40" t="n">
        <f aca="false">F65+IF($A66&lt;Inputs!$B$9,0,E$4*Inputs!$B$23*MIN(1,($A66-Inputs!$B$9+1)/(Inputs!$B$10-Inputs!$B$9+1)))*Inputs!$B$4*$A$5-$B66</f>
        <v>7684419.04761905</v>
      </c>
      <c r="G66" s="40" t="n">
        <f aca="false">G65+IF($A66&lt;Inputs!$B$9,0,F$4*Inputs!$B$23*MIN(1,($A66-Inputs!$B$9+1)/(Inputs!$B$10-Inputs!$B$9+1)))*Inputs!$B$4*$A$5-$B66</f>
        <v>13379904.7619048</v>
      </c>
      <c r="H66" s="40" t="n">
        <f aca="false">H65+IF($A66&lt;Inputs!$B$9,0,B$4*Inputs!$B$23*MIN(1,($A66-Inputs!$B$9+1)/(Inputs!$B$10-Inputs!$B$9+1)))*Inputs!$B$4*$A$6-$B66</f>
        <v>-5605047.61904761</v>
      </c>
      <c r="I66" s="40" t="n">
        <f aca="false">I65+IF($A66&lt;Inputs!$B$9,0,C$4*Inputs!$B$23*MIN(1,($A66-Inputs!$B$9+1)/(Inputs!$B$10-Inputs!$B$9+1)))*Inputs!$B$4*$A$6-$B66</f>
        <v>1514309.52380952</v>
      </c>
      <c r="J66" s="40" t="n">
        <f aca="false">J65+IF($A66&lt;Inputs!$B$9,0,D$4*Inputs!$B$23*MIN(1,($A66-Inputs!$B$9+1)/(Inputs!$B$10-Inputs!$B$9+1)))*Inputs!$B$4*$A$6-$B66</f>
        <v>8633666.66666666</v>
      </c>
      <c r="K66" s="40" t="n">
        <f aca="false">K65+IF($A66&lt;Inputs!$B$9,0,E$4*Inputs!$B$23*MIN(1,($A66-Inputs!$B$9+1)/(Inputs!$B$10-Inputs!$B$9+1)))*Inputs!$B$4*$A$6-$B66</f>
        <v>15753023.8095238</v>
      </c>
      <c r="L66" s="40" t="n">
        <f aca="false">L65+IF($A66&lt;Inputs!$B$9,0,F$4*Inputs!$B$23*MIN(1,($A66-Inputs!$B$9+1)/(Inputs!$B$10-Inputs!$B$9+1)))*Inputs!$B$4*$A$6-$B66</f>
        <v>22872380.952381</v>
      </c>
      <c r="M66" s="40" t="n">
        <f aca="false">M65+IF($A66&lt;Inputs!$B$9,0,B$4*Inputs!$B$23*MIN(1,($A66-Inputs!$B$9+1)/(Inputs!$B$10-Inputs!$B$9+1)))*Inputs!$B$4*$A$7-$B66</f>
        <v>-1808057.14285715</v>
      </c>
      <c r="N66" s="40" t="n">
        <f aca="false">N65+IF($A66&lt;Inputs!$B$9,0,C$4*Inputs!$B$23*MIN(1,($A66-Inputs!$B$9+1)/(Inputs!$B$10-Inputs!$B$9+1)))*Inputs!$B$4*$A$7-$B66</f>
        <v>6735171.42857144</v>
      </c>
      <c r="O66" s="40" t="n">
        <f aca="false">O65+IF($A66&lt;Inputs!$B$9,0,D$4*Inputs!$B$23*MIN(1,($A66-Inputs!$B$9+1)/(Inputs!$B$10-Inputs!$B$9+1)))*Inputs!$B$4*$A$7-$B66</f>
        <v>15278400</v>
      </c>
      <c r="P66" s="40" t="n">
        <f aca="false">P65+IF($A66&lt;Inputs!$B$9,0,E$4*Inputs!$B$23*MIN(1,($A66-Inputs!$B$9+1)/(Inputs!$B$10-Inputs!$B$9+1)))*Inputs!$B$4*$A$7-$B66</f>
        <v>23821628.5714286</v>
      </c>
      <c r="Q66" s="40" t="n">
        <f aca="false">Q65+IF($A66&lt;Inputs!$B$9,0,F$4*Inputs!$B$23*MIN(1,($A66-Inputs!$B$9+1)/(Inputs!$B$10-Inputs!$B$9+1)))*Inputs!$B$4*$A$7-$B66</f>
        <v>32364857.1428572</v>
      </c>
      <c r="R66" s="40" t="n">
        <f aca="false">R65+IF($A66&lt;Inputs!$B$9,0,B$4*Inputs!$B$23*MIN(1,($A66-Inputs!$B$9+1)/(Inputs!$B$10-Inputs!$B$9+1)))*Inputs!$B$4*$A$8-$B66</f>
        <v>1988933.33333334</v>
      </c>
      <c r="S66" s="40" t="n">
        <f aca="false">S65+IF($A66&lt;Inputs!$B$9,0,C$4*Inputs!$B$23*MIN(1,($A66-Inputs!$B$9+1)/(Inputs!$B$10-Inputs!$B$9+1)))*Inputs!$B$4*$A$8-$B66</f>
        <v>11956033.3333333</v>
      </c>
      <c r="T66" s="40" t="n">
        <f aca="false">T65+IF($A66&lt;Inputs!$B$9,0,D$4*Inputs!$B$23*MIN(1,($A66-Inputs!$B$9+1)/(Inputs!$B$10-Inputs!$B$9+1)))*Inputs!$B$4*$A$8-$B66</f>
        <v>21923133.3333333</v>
      </c>
      <c r="U66" s="40" t="n">
        <f aca="false">U65+IF($A66&lt;Inputs!$B$9,0,E$4*Inputs!$B$23*MIN(1,($A66-Inputs!$B$9+1)/(Inputs!$B$10-Inputs!$B$9+1)))*Inputs!$B$4*$A$8-$B66</f>
        <v>31890233.3333333</v>
      </c>
      <c r="V66" s="40" t="n">
        <f aca="false">V65+IF($A66&lt;Inputs!$B$9,0,F$4*Inputs!$B$23*MIN(1,($A66-Inputs!$B$9+1)/(Inputs!$B$10-Inputs!$B$9+1)))*Inputs!$B$4*$A$8-$B66</f>
        <v>41857333.3333333</v>
      </c>
    </row>
    <row r="67" customFormat="false" ht="15" hidden="false" customHeight="true" outlineLevel="0" collapsed="false">
      <c r="A67" s="14" t="n">
        <v>55</v>
      </c>
      <c r="B67" s="43" t="n">
        <f aca="false">Cashflow!B59</f>
        <v>395000</v>
      </c>
      <c r="C67" s="40" t="n">
        <f aca="false">C66+IF($A67&lt;Inputs!$B$9,0,B$4*Inputs!$B$23*MIN(1,($A67-Inputs!$B$9+1)/(Inputs!$B$10-Inputs!$B$9+1)))*Inputs!$B$4*$A$5-$B67</f>
        <v>-9426600</v>
      </c>
      <c r="D67" s="40" t="n">
        <f aca="false">D66+IF($A67&lt;Inputs!$B$9,0,C$4*Inputs!$B$23*MIN(1,($A67-Inputs!$B$9+1)/(Inputs!$B$10-Inputs!$B$9+1)))*Inputs!$B$4*$A$5-$B67</f>
        <v>-3592200</v>
      </c>
      <c r="E67" s="40" t="n">
        <f aca="false">E66+IF($A67&lt;Inputs!$B$9,0,D$4*Inputs!$B$23*MIN(1,($A67-Inputs!$B$9+1)/(Inputs!$B$10-Inputs!$B$9+1)))*Inputs!$B$4*$A$5-$B67</f>
        <v>2242200</v>
      </c>
      <c r="F67" s="40" t="n">
        <f aca="false">F66+IF($A67&lt;Inputs!$B$9,0,E$4*Inputs!$B$23*MIN(1,($A67-Inputs!$B$9+1)/(Inputs!$B$10-Inputs!$B$9+1)))*Inputs!$B$4*$A$5-$B67</f>
        <v>8076600</v>
      </c>
      <c r="G67" s="40" t="n">
        <f aca="false">G66+IF($A67&lt;Inputs!$B$9,0,F$4*Inputs!$B$23*MIN(1,($A67-Inputs!$B$9+1)/(Inputs!$B$10-Inputs!$B$9+1)))*Inputs!$B$4*$A$5-$B67</f>
        <v>13911000</v>
      </c>
      <c r="H67" s="40" t="n">
        <f aca="false">H66+IF($A67&lt;Inputs!$B$9,0,B$4*Inputs!$B$23*MIN(1,($A67-Inputs!$B$9+1)/(Inputs!$B$10-Inputs!$B$9+1)))*Inputs!$B$4*$A$6-$B67</f>
        <v>-5536999.99999999</v>
      </c>
      <c r="I67" s="40" t="n">
        <f aca="false">I66+IF($A67&lt;Inputs!$B$9,0,C$4*Inputs!$B$23*MIN(1,($A67-Inputs!$B$9+1)/(Inputs!$B$10-Inputs!$B$9+1)))*Inputs!$B$4*$A$6-$B67</f>
        <v>1756000</v>
      </c>
      <c r="J67" s="40" t="n">
        <f aca="false">J66+IF($A67&lt;Inputs!$B$9,0,D$4*Inputs!$B$23*MIN(1,($A67-Inputs!$B$9+1)/(Inputs!$B$10-Inputs!$B$9+1)))*Inputs!$B$4*$A$6-$B67</f>
        <v>9049000</v>
      </c>
      <c r="K67" s="40" t="n">
        <f aca="false">K66+IF($A67&lt;Inputs!$B$9,0,E$4*Inputs!$B$23*MIN(1,($A67-Inputs!$B$9+1)/(Inputs!$B$10-Inputs!$B$9+1)))*Inputs!$B$4*$A$6-$B67</f>
        <v>16342000</v>
      </c>
      <c r="L67" s="40" t="n">
        <f aca="false">L66+IF($A67&lt;Inputs!$B$9,0,F$4*Inputs!$B$23*MIN(1,($A67-Inputs!$B$9+1)/(Inputs!$B$10-Inputs!$B$9+1)))*Inputs!$B$4*$A$6-$B67</f>
        <v>23635000</v>
      </c>
      <c r="M67" s="40" t="n">
        <f aca="false">M66+IF($A67&lt;Inputs!$B$9,0,B$4*Inputs!$B$23*MIN(1,($A67-Inputs!$B$9+1)/(Inputs!$B$10-Inputs!$B$9+1)))*Inputs!$B$4*$A$7-$B67</f>
        <v>-1647400</v>
      </c>
      <c r="N67" s="40" t="n">
        <f aca="false">N66+IF($A67&lt;Inputs!$B$9,0,C$4*Inputs!$B$23*MIN(1,($A67-Inputs!$B$9+1)/(Inputs!$B$10-Inputs!$B$9+1)))*Inputs!$B$4*$A$7-$B67</f>
        <v>7104200.00000001</v>
      </c>
      <c r="O67" s="40" t="n">
        <f aca="false">O66+IF($A67&lt;Inputs!$B$9,0,D$4*Inputs!$B$23*MIN(1,($A67-Inputs!$B$9+1)/(Inputs!$B$10-Inputs!$B$9+1)))*Inputs!$B$4*$A$7-$B67</f>
        <v>15855800</v>
      </c>
      <c r="P67" s="40" t="n">
        <f aca="false">P66+IF($A67&lt;Inputs!$B$9,0,E$4*Inputs!$B$23*MIN(1,($A67-Inputs!$B$9+1)/(Inputs!$B$10-Inputs!$B$9+1)))*Inputs!$B$4*$A$7-$B67</f>
        <v>24607400</v>
      </c>
      <c r="Q67" s="40" t="n">
        <f aca="false">Q66+IF($A67&lt;Inputs!$B$9,0,F$4*Inputs!$B$23*MIN(1,($A67-Inputs!$B$9+1)/(Inputs!$B$10-Inputs!$B$9+1)))*Inputs!$B$4*$A$7-$B67</f>
        <v>33359000</v>
      </c>
      <c r="R67" s="40" t="n">
        <f aca="false">R66+IF($A67&lt;Inputs!$B$9,0,B$4*Inputs!$B$23*MIN(1,($A67-Inputs!$B$9+1)/(Inputs!$B$10-Inputs!$B$9+1)))*Inputs!$B$4*$A$8-$B67</f>
        <v>2242200.00000001</v>
      </c>
      <c r="S67" s="40" t="n">
        <f aca="false">S66+IF($A67&lt;Inputs!$B$9,0,C$4*Inputs!$B$23*MIN(1,($A67-Inputs!$B$9+1)/(Inputs!$B$10-Inputs!$B$9+1)))*Inputs!$B$4*$A$8-$B67</f>
        <v>12452400</v>
      </c>
      <c r="T67" s="40" t="n">
        <f aca="false">T66+IF($A67&lt;Inputs!$B$9,0,D$4*Inputs!$B$23*MIN(1,($A67-Inputs!$B$9+1)/(Inputs!$B$10-Inputs!$B$9+1)))*Inputs!$B$4*$A$8-$B67</f>
        <v>22662600</v>
      </c>
      <c r="U67" s="40" t="n">
        <f aca="false">U66+IF($A67&lt;Inputs!$B$9,0,E$4*Inputs!$B$23*MIN(1,($A67-Inputs!$B$9+1)/(Inputs!$B$10-Inputs!$B$9+1)))*Inputs!$B$4*$A$8-$B67</f>
        <v>32872800</v>
      </c>
      <c r="V67" s="40" t="n">
        <f aca="false">V66+IF($A67&lt;Inputs!$B$9,0,F$4*Inputs!$B$23*MIN(1,($A67-Inputs!$B$9+1)/(Inputs!$B$10-Inputs!$B$9+1)))*Inputs!$B$4*$A$8-$B67</f>
        <v>43083000</v>
      </c>
    </row>
    <row r="68" customFormat="false" ht="15" hidden="false" customHeight="true" outlineLevel="0" collapsed="false">
      <c r="A68" s="14" t="n">
        <v>56</v>
      </c>
      <c r="B68" s="43" t="n">
        <f aca="false">Cashflow!B60</f>
        <v>395000</v>
      </c>
      <c r="C68" s="40" t="n">
        <f aca="false">C67+IF($A68&lt;Inputs!$B$9,0,B$4*Inputs!$B$23*MIN(1,($A68-Inputs!$B$9+1)/(Inputs!$B$10-Inputs!$B$9+1)))*Inputs!$B$4*$A$5-$B68</f>
        <v>-9451161.90476191</v>
      </c>
      <c r="D68" s="40" t="n">
        <f aca="false">D67+IF($A68&lt;Inputs!$B$9,0,C$4*Inputs!$B$23*MIN(1,($A68-Inputs!$B$9+1)/(Inputs!$B$10-Inputs!$B$9+1)))*Inputs!$B$4*$A$5-$B68</f>
        <v>-3477847.61904762</v>
      </c>
      <c r="E68" s="40" t="n">
        <f aca="false">E67+IF($A68&lt;Inputs!$B$9,0,D$4*Inputs!$B$23*MIN(1,($A68-Inputs!$B$9+1)/(Inputs!$B$10-Inputs!$B$9+1)))*Inputs!$B$4*$A$5-$B68</f>
        <v>2495466.66666667</v>
      </c>
      <c r="F68" s="40" t="n">
        <f aca="false">F67+IF($A68&lt;Inputs!$B$9,0,E$4*Inputs!$B$23*MIN(1,($A68-Inputs!$B$9+1)/(Inputs!$B$10-Inputs!$B$9+1)))*Inputs!$B$4*$A$5-$B68</f>
        <v>8468780.95238096</v>
      </c>
      <c r="G68" s="40" t="n">
        <f aca="false">G67+IF($A68&lt;Inputs!$B$9,0,F$4*Inputs!$B$23*MIN(1,($A68-Inputs!$B$9+1)/(Inputs!$B$10-Inputs!$B$9+1)))*Inputs!$B$4*$A$5-$B68</f>
        <v>14442095.2380952</v>
      </c>
      <c r="H68" s="40" t="n">
        <f aca="false">H67+IF($A68&lt;Inputs!$B$9,0,B$4*Inputs!$B$23*MIN(1,($A68-Inputs!$B$9+1)/(Inputs!$B$10-Inputs!$B$9+1)))*Inputs!$B$4*$A$6-$B68</f>
        <v>-5468952.38095237</v>
      </c>
      <c r="I68" s="40" t="n">
        <f aca="false">I67+IF($A68&lt;Inputs!$B$9,0,C$4*Inputs!$B$23*MIN(1,($A68-Inputs!$B$9+1)/(Inputs!$B$10-Inputs!$B$9+1)))*Inputs!$B$4*$A$6-$B68</f>
        <v>1997690.47619048</v>
      </c>
      <c r="J68" s="40" t="n">
        <f aca="false">J67+IF($A68&lt;Inputs!$B$9,0,D$4*Inputs!$B$23*MIN(1,($A68-Inputs!$B$9+1)/(Inputs!$B$10-Inputs!$B$9+1)))*Inputs!$B$4*$A$6-$B68</f>
        <v>9464333.33333333</v>
      </c>
      <c r="K68" s="40" t="n">
        <f aca="false">K67+IF($A68&lt;Inputs!$B$9,0,E$4*Inputs!$B$23*MIN(1,($A68-Inputs!$B$9+1)/(Inputs!$B$10-Inputs!$B$9+1)))*Inputs!$B$4*$A$6-$B68</f>
        <v>16930976.1904762</v>
      </c>
      <c r="L68" s="40" t="n">
        <f aca="false">L67+IF($A68&lt;Inputs!$B$9,0,F$4*Inputs!$B$23*MIN(1,($A68-Inputs!$B$9+1)/(Inputs!$B$10-Inputs!$B$9+1)))*Inputs!$B$4*$A$6-$B68</f>
        <v>24397619.0476191</v>
      </c>
      <c r="M68" s="40" t="n">
        <f aca="false">M67+IF($A68&lt;Inputs!$B$9,0,B$4*Inputs!$B$23*MIN(1,($A68-Inputs!$B$9+1)/(Inputs!$B$10-Inputs!$B$9+1)))*Inputs!$B$4*$A$7-$B68</f>
        <v>-1486742.85714286</v>
      </c>
      <c r="N68" s="40" t="n">
        <f aca="false">N67+IF($A68&lt;Inputs!$B$9,0,C$4*Inputs!$B$23*MIN(1,($A68-Inputs!$B$9+1)/(Inputs!$B$10-Inputs!$B$9+1)))*Inputs!$B$4*$A$7-$B68</f>
        <v>7473228.57142858</v>
      </c>
      <c r="O68" s="40" t="n">
        <f aca="false">O67+IF($A68&lt;Inputs!$B$9,0,D$4*Inputs!$B$23*MIN(1,($A68-Inputs!$B$9+1)/(Inputs!$B$10-Inputs!$B$9+1)))*Inputs!$B$4*$A$7-$B68</f>
        <v>16433200</v>
      </c>
      <c r="P68" s="40" t="n">
        <f aca="false">P67+IF($A68&lt;Inputs!$B$9,0,E$4*Inputs!$B$23*MIN(1,($A68-Inputs!$B$9+1)/(Inputs!$B$10-Inputs!$B$9+1)))*Inputs!$B$4*$A$7-$B68</f>
        <v>25393171.4285714</v>
      </c>
      <c r="Q68" s="40" t="n">
        <f aca="false">Q67+IF($A68&lt;Inputs!$B$9,0,F$4*Inputs!$B$23*MIN(1,($A68-Inputs!$B$9+1)/(Inputs!$B$10-Inputs!$B$9+1)))*Inputs!$B$4*$A$7-$B68</f>
        <v>34353142.8571429</v>
      </c>
      <c r="R68" s="40" t="n">
        <f aca="false">R67+IF($A68&lt;Inputs!$B$9,0,B$4*Inputs!$B$23*MIN(1,($A68-Inputs!$B$9+1)/(Inputs!$B$10-Inputs!$B$9+1)))*Inputs!$B$4*$A$8-$B68</f>
        <v>2495466.66666668</v>
      </c>
      <c r="S68" s="40" t="n">
        <f aca="false">S67+IF($A68&lt;Inputs!$B$9,0,C$4*Inputs!$B$23*MIN(1,($A68-Inputs!$B$9+1)/(Inputs!$B$10-Inputs!$B$9+1)))*Inputs!$B$4*$A$8-$B68</f>
        <v>12948766.6666667</v>
      </c>
      <c r="T68" s="40" t="n">
        <f aca="false">T67+IF($A68&lt;Inputs!$B$9,0,D$4*Inputs!$B$23*MIN(1,($A68-Inputs!$B$9+1)/(Inputs!$B$10-Inputs!$B$9+1)))*Inputs!$B$4*$A$8-$B68</f>
        <v>23402066.6666667</v>
      </c>
      <c r="U68" s="40" t="n">
        <f aca="false">U67+IF($A68&lt;Inputs!$B$9,0,E$4*Inputs!$B$23*MIN(1,($A68-Inputs!$B$9+1)/(Inputs!$B$10-Inputs!$B$9+1)))*Inputs!$B$4*$A$8-$B68</f>
        <v>33855366.6666667</v>
      </c>
      <c r="V68" s="40" t="n">
        <f aca="false">V67+IF($A68&lt;Inputs!$B$9,0,F$4*Inputs!$B$23*MIN(1,($A68-Inputs!$B$9+1)/(Inputs!$B$10-Inputs!$B$9+1)))*Inputs!$B$4*$A$8-$B68</f>
        <v>44308666.6666667</v>
      </c>
    </row>
    <row r="69" customFormat="false" ht="15" hidden="false" customHeight="true" outlineLevel="0" collapsed="false">
      <c r="A69" s="14" t="n">
        <v>57</v>
      </c>
      <c r="B69" s="43" t="n">
        <f aca="false">Cashflow!B61</f>
        <v>395000</v>
      </c>
      <c r="C69" s="40" t="n">
        <f aca="false">C68+IF($A69&lt;Inputs!$B$9,0,B$4*Inputs!$B$23*MIN(1,($A69-Inputs!$B$9+1)/(Inputs!$B$10-Inputs!$B$9+1)))*Inputs!$B$4*$A$5-$B69</f>
        <v>-9475723.80952381</v>
      </c>
      <c r="D69" s="40" t="n">
        <f aca="false">D68+IF($A69&lt;Inputs!$B$9,0,C$4*Inputs!$B$23*MIN(1,($A69-Inputs!$B$9+1)/(Inputs!$B$10-Inputs!$B$9+1)))*Inputs!$B$4*$A$5-$B69</f>
        <v>-3363495.23809524</v>
      </c>
      <c r="E69" s="40" t="n">
        <f aca="false">E68+IF($A69&lt;Inputs!$B$9,0,D$4*Inputs!$B$23*MIN(1,($A69-Inputs!$B$9+1)/(Inputs!$B$10-Inputs!$B$9+1)))*Inputs!$B$4*$A$5-$B69</f>
        <v>2748733.33333334</v>
      </c>
      <c r="F69" s="40" t="n">
        <f aca="false">F68+IF($A69&lt;Inputs!$B$9,0,E$4*Inputs!$B$23*MIN(1,($A69-Inputs!$B$9+1)/(Inputs!$B$10-Inputs!$B$9+1)))*Inputs!$B$4*$A$5-$B69</f>
        <v>8860961.90476191</v>
      </c>
      <c r="G69" s="40" t="n">
        <f aca="false">G68+IF($A69&lt;Inputs!$B$9,0,F$4*Inputs!$B$23*MIN(1,($A69-Inputs!$B$9+1)/(Inputs!$B$10-Inputs!$B$9+1)))*Inputs!$B$4*$A$5-$B69</f>
        <v>14973190.4761905</v>
      </c>
      <c r="H69" s="40" t="n">
        <f aca="false">H68+IF($A69&lt;Inputs!$B$9,0,B$4*Inputs!$B$23*MIN(1,($A69-Inputs!$B$9+1)/(Inputs!$B$10-Inputs!$B$9+1)))*Inputs!$B$4*$A$6-$B69</f>
        <v>-5400904.76190475</v>
      </c>
      <c r="I69" s="40" t="n">
        <f aca="false">I68+IF($A69&lt;Inputs!$B$9,0,C$4*Inputs!$B$23*MIN(1,($A69-Inputs!$B$9+1)/(Inputs!$B$10-Inputs!$B$9+1)))*Inputs!$B$4*$A$6-$B69</f>
        <v>2239380.95238095</v>
      </c>
      <c r="J69" s="40" t="n">
        <f aca="false">J68+IF($A69&lt;Inputs!$B$9,0,D$4*Inputs!$B$23*MIN(1,($A69-Inputs!$B$9+1)/(Inputs!$B$10-Inputs!$B$9+1)))*Inputs!$B$4*$A$6-$B69</f>
        <v>9879666.66666666</v>
      </c>
      <c r="K69" s="40" t="n">
        <f aca="false">K68+IF($A69&lt;Inputs!$B$9,0,E$4*Inputs!$B$23*MIN(1,($A69-Inputs!$B$9+1)/(Inputs!$B$10-Inputs!$B$9+1)))*Inputs!$B$4*$A$6-$B69</f>
        <v>17519952.3809524</v>
      </c>
      <c r="L69" s="40" t="n">
        <f aca="false">L68+IF($A69&lt;Inputs!$B$9,0,F$4*Inputs!$B$23*MIN(1,($A69-Inputs!$B$9+1)/(Inputs!$B$10-Inputs!$B$9+1)))*Inputs!$B$4*$A$6-$B69</f>
        <v>25160238.0952381</v>
      </c>
      <c r="M69" s="40" t="n">
        <f aca="false">M68+IF($A69&lt;Inputs!$B$9,0,B$4*Inputs!$B$23*MIN(1,($A69-Inputs!$B$9+1)/(Inputs!$B$10-Inputs!$B$9+1)))*Inputs!$B$4*$A$7-$B69</f>
        <v>-1326085.71428572</v>
      </c>
      <c r="N69" s="40" t="n">
        <f aca="false">N68+IF($A69&lt;Inputs!$B$9,0,C$4*Inputs!$B$23*MIN(1,($A69-Inputs!$B$9+1)/(Inputs!$B$10-Inputs!$B$9+1)))*Inputs!$B$4*$A$7-$B69</f>
        <v>7842257.14285715</v>
      </c>
      <c r="O69" s="40" t="n">
        <f aca="false">O68+IF($A69&lt;Inputs!$B$9,0,D$4*Inputs!$B$23*MIN(1,($A69-Inputs!$B$9+1)/(Inputs!$B$10-Inputs!$B$9+1)))*Inputs!$B$4*$A$7-$B69</f>
        <v>17010600</v>
      </c>
      <c r="P69" s="40" t="n">
        <f aca="false">P68+IF($A69&lt;Inputs!$B$9,0,E$4*Inputs!$B$23*MIN(1,($A69-Inputs!$B$9+1)/(Inputs!$B$10-Inputs!$B$9+1)))*Inputs!$B$4*$A$7-$B69</f>
        <v>26178942.8571429</v>
      </c>
      <c r="Q69" s="40" t="n">
        <f aca="false">Q68+IF($A69&lt;Inputs!$B$9,0,F$4*Inputs!$B$23*MIN(1,($A69-Inputs!$B$9+1)/(Inputs!$B$10-Inputs!$B$9+1)))*Inputs!$B$4*$A$7-$B69</f>
        <v>35347285.7142857</v>
      </c>
      <c r="R69" s="40" t="n">
        <f aca="false">R68+IF($A69&lt;Inputs!$B$9,0,B$4*Inputs!$B$23*MIN(1,($A69-Inputs!$B$9+1)/(Inputs!$B$10-Inputs!$B$9+1)))*Inputs!$B$4*$A$8-$B69</f>
        <v>2748733.33333334</v>
      </c>
      <c r="S69" s="40" t="n">
        <f aca="false">S68+IF($A69&lt;Inputs!$B$9,0,C$4*Inputs!$B$23*MIN(1,($A69-Inputs!$B$9+1)/(Inputs!$B$10-Inputs!$B$9+1)))*Inputs!$B$4*$A$8-$B69</f>
        <v>13445133.3333333</v>
      </c>
      <c r="T69" s="40" t="n">
        <f aca="false">T68+IF($A69&lt;Inputs!$B$9,0,D$4*Inputs!$B$23*MIN(1,($A69-Inputs!$B$9+1)/(Inputs!$B$10-Inputs!$B$9+1)))*Inputs!$B$4*$A$8-$B69</f>
        <v>24141533.3333333</v>
      </c>
      <c r="U69" s="40" t="n">
        <f aca="false">U68+IF($A69&lt;Inputs!$B$9,0,E$4*Inputs!$B$23*MIN(1,($A69-Inputs!$B$9+1)/(Inputs!$B$10-Inputs!$B$9+1)))*Inputs!$B$4*$A$8-$B69</f>
        <v>34837933.3333333</v>
      </c>
      <c r="V69" s="40" t="n">
        <f aca="false">V68+IF($A69&lt;Inputs!$B$9,0,F$4*Inputs!$B$23*MIN(1,($A69-Inputs!$B$9+1)/(Inputs!$B$10-Inputs!$B$9+1)))*Inputs!$B$4*$A$8-$B69</f>
        <v>45534333.3333333</v>
      </c>
    </row>
    <row r="70" customFormat="false" ht="15" hidden="false" customHeight="true" outlineLevel="0" collapsed="false">
      <c r="A70" s="14" t="n">
        <v>58</v>
      </c>
      <c r="B70" s="43" t="n">
        <f aca="false">Cashflow!B62</f>
        <v>395000</v>
      </c>
      <c r="C70" s="40" t="n">
        <f aca="false">C69+IF($A70&lt;Inputs!$B$9,0,B$4*Inputs!$B$23*MIN(1,($A70-Inputs!$B$9+1)/(Inputs!$B$10-Inputs!$B$9+1)))*Inputs!$B$4*$A$5-$B70</f>
        <v>-9500285.71428572</v>
      </c>
      <c r="D70" s="40" t="n">
        <f aca="false">D69+IF($A70&lt;Inputs!$B$9,0,C$4*Inputs!$B$23*MIN(1,($A70-Inputs!$B$9+1)/(Inputs!$B$10-Inputs!$B$9+1)))*Inputs!$B$4*$A$5-$B70</f>
        <v>-3249142.85714286</v>
      </c>
      <c r="E70" s="40" t="n">
        <f aca="false">E69+IF($A70&lt;Inputs!$B$9,0,D$4*Inputs!$B$23*MIN(1,($A70-Inputs!$B$9+1)/(Inputs!$B$10-Inputs!$B$9+1)))*Inputs!$B$4*$A$5-$B70</f>
        <v>3002000</v>
      </c>
      <c r="F70" s="40" t="n">
        <f aca="false">F69+IF($A70&lt;Inputs!$B$9,0,E$4*Inputs!$B$23*MIN(1,($A70-Inputs!$B$9+1)/(Inputs!$B$10-Inputs!$B$9+1)))*Inputs!$B$4*$A$5-$B70</f>
        <v>9253142.85714286</v>
      </c>
      <c r="G70" s="40" t="n">
        <f aca="false">G69+IF($A70&lt;Inputs!$B$9,0,F$4*Inputs!$B$23*MIN(1,($A70-Inputs!$B$9+1)/(Inputs!$B$10-Inputs!$B$9+1)))*Inputs!$B$4*$A$5-$B70</f>
        <v>15504285.7142857</v>
      </c>
      <c r="H70" s="40" t="n">
        <f aca="false">H69+IF($A70&lt;Inputs!$B$9,0,B$4*Inputs!$B$23*MIN(1,($A70-Inputs!$B$9+1)/(Inputs!$B$10-Inputs!$B$9+1)))*Inputs!$B$4*$A$6-$B70</f>
        <v>-5332857.14285713</v>
      </c>
      <c r="I70" s="40" t="n">
        <f aca="false">I69+IF($A70&lt;Inputs!$B$9,0,C$4*Inputs!$B$23*MIN(1,($A70-Inputs!$B$9+1)/(Inputs!$B$10-Inputs!$B$9+1)))*Inputs!$B$4*$A$6-$B70</f>
        <v>2481071.42857143</v>
      </c>
      <c r="J70" s="40" t="n">
        <f aca="false">J69+IF($A70&lt;Inputs!$B$9,0,D$4*Inputs!$B$23*MIN(1,($A70-Inputs!$B$9+1)/(Inputs!$B$10-Inputs!$B$9+1)))*Inputs!$B$4*$A$6-$B70</f>
        <v>10295000</v>
      </c>
      <c r="K70" s="40" t="n">
        <f aca="false">K69+IF($A70&lt;Inputs!$B$9,0,E$4*Inputs!$B$23*MIN(1,($A70-Inputs!$B$9+1)/(Inputs!$B$10-Inputs!$B$9+1)))*Inputs!$B$4*$A$6-$B70</f>
        <v>18108928.5714286</v>
      </c>
      <c r="L70" s="40" t="n">
        <f aca="false">L69+IF($A70&lt;Inputs!$B$9,0,F$4*Inputs!$B$23*MIN(1,($A70-Inputs!$B$9+1)/(Inputs!$B$10-Inputs!$B$9+1)))*Inputs!$B$4*$A$6-$B70</f>
        <v>25922857.1428572</v>
      </c>
      <c r="M70" s="40" t="n">
        <f aca="false">M69+IF($A70&lt;Inputs!$B$9,0,B$4*Inputs!$B$23*MIN(1,($A70-Inputs!$B$9+1)/(Inputs!$B$10-Inputs!$B$9+1)))*Inputs!$B$4*$A$7-$B70</f>
        <v>-1165428.57142857</v>
      </c>
      <c r="N70" s="40" t="n">
        <f aca="false">N69+IF($A70&lt;Inputs!$B$9,0,C$4*Inputs!$B$23*MIN(1,($A70-Inputs!$B$9+1)/(Inputs!$B$10-Inputs!$B$9+1)))*Inputs!$B$4*$A$7-$B70</f>
        <v>8211285.71428572</v>
      </c>
      <c r="O70" s="40" t="n">
        <f aca="false">O69+IF($A70&lt;Inputs!$B$9,0,D$4*Inputs!$B$23*MIN(1,($A70-Inputs!$B$9+1)/(Inputs!$B$10-Inputs!$B$9+1)))*Inputs!$B$4*$A$7-$B70</f>
        <v>17588000</v>
      </c>
      <c r="P70" s="40" t="n">
        <f aca="false">P69+IF($A70&lt;Inputs!$B$9,0,E$4*Inputs!$B$23*MIN(1,($A70-Inputs!$B$9+1)/(Inputs!$B$10-Inputs!$B$9+1)))*Inputs!$B$4*$A$7-$B70</f>
        <v>26964714.2857143</v>
      </c>
      <c r="Q70" s="40" t="n">
        <f aca="false">Q69+IF($A70&lt;Inputs!$B$9,0,F$4*Inputs!$B$23*MIN(1,($A70-Inputs!$B$9+1)/(Inputs!$B$10-Inputs!$B$9+1)))*Inputs!$B$4*$A$7-$B70</f>
        <v>36341428.5714286</v>
      </c>
      <c r="R70" s="40" t="n">
        <f aca="false">R69+IF($A70&lt;Inputs!$B$9,0,B$4*Inputs!$B$23*MIN(1,($A70-Inputs!$B$9+1)/(Inputs!$B$10-Inputs!$B$9+1)))*Inputs!$B$4*$A$8-$B70</f>
        <v>3002000.00000001</v>
      </c>
      <c r="S70" s="40" t="n">
        <f aca="false">S69+IF($A70&lt;Inputs!$B$9,0,C$4*Inputs!$B$23*MIN(1,($A70-Inputs!$B$9+1)/(Inputs!$B$10-Inputs!$B$9+1)))*Inputs!$B$4*$A$8-$B70</f>
        <v>13941500</v>
      </c>
      <c r="T70" s="40" t="n">
        <f aca="false">T69+IF($A70&lt;Inputs!$B$9,0,D$4*Inputs!$B$23*MIN(1,($A70-Inputs!$B$9+1)/(Inputs!$B$10-Inputs!$B$9+1)))*Inputs!$B$4*$A$8-$B70</f>
        <v>24881000</v>
      </c>
      <c r="U70" s="40" t="n">
        <f aca="false">U69+IF($A70&lt;Inputs!$B$9,0,E$4*Inputs!$B$23*MIN(1,($A70-Inputs!$B$9+1)/(Inputs!$B$10-Inputs!$B$9+1)))*Inputs!$B$4*$A$8-$B70</f>
        <v>35820500</v>
      </c>
      <c r="V70" s="40" t="n">
        <f aca="false">V69+IF($A70&lt;Inputs!$B$9,0,F$4*Inputs!$B$23*MIN(1,($A70-Inputs!$B$9+1)/(Inputs!$B$10-Inputs!$B$9+1)))*Inputs!$B$4*$A$8-$B70</f>
        <v>46760000</v>
      </c>
    </row>
    <row r="71" customFormat="false" ht="15" hidden="false" customHeight="true" outlineLevel="0" collapsed="false">
      <c r="A71" s="14" t="n">
        <v>59</v>
      </c>
      <c r="B71" s="43" t="n">
        <f aca="false">Cashflow!B63</f>
        <v>395000</v>
      </c>
      <c r="C71" s="40" t="n">
        <f aca="false">C70+IF($A71&lt;Inputs!$B$9,0,B$4*Inputs!$B$23*MIN(1,($A71-Inputs!$B$9+1)/(Inputs!$B$10-Inputs!$B$9+1)))*Inputs!$B$4*$A$5-$B71</f>
        <v>-9524847.61904762</v>
      </c>
      <c r="D71" s="40" t="n">
        <f aca="false">D70+IF($A71&lt;Inputs!$B$9,0,C$4*Inputs!$B$23*MIN(1,($A71-Inputs!$B$9+1)/(Inputs!$B$10-Inputs!$B$9+1)))*Inputs!$B$4*$A$5-$B71</f>
        <v>-3134790.47619048</v>
      </c>
      <c r="E71" s="40" t="n">
        <f aca="false">E70+IF($A71&lt;Inputs!$B$9,0,D$4*Inputs!$B$23*MIN(1,($A71-Inputs!$B$9+1)/(Inputs!$B$10-Inputs!$B$9+1)))*Inputs!$B$4*$A$5-$B71</f>
        <v>3255266.66666667</v>
      </c>
      <c r="F71" s="40" t="n">
        <f aca="false">F70+IF($A71&lt;Inputs!$B$9,0,E$4*Inputs!$B$23*MIN(1,($A71-Inputs!$B$9+1)/(Inputs!$B$10-Inputs!$B$9+1)))*Inputs!$B$4*$A$5-$B71</f>
        <v>9645323.80952381</v>
      </c>
      <c r="G71" s="40" t="n">
        <f aca="false">G70+IF($A71&lt;Inputs!$B$9,0,F$4*Inputs!$B$23*MIN(1,($A71-Inputs!$B$9+1)/(Inputs!$B$10-Inputs!$B$9+1)))*Inputs!$B$4*$A$5-$B71</f>
        <v>16035380.952381</v>
      </c>
      <c r="H71" s="40" t="n">
        <f aca="false">H70+IF($A71&lt;Inputs!$B$9,0,B$4*Inputs!$B$23*MIN(1,($A71-Inputs!$B$9+1)/(Inputs!$B$10-Inputs!$B$9+1)))*Inputs!$B$4*$A$6-$B71</f>
        <v>-5264809.52380951</v>
      </c>
      <c r="I71" s="40" t="n">
        <f aca="false">I70+IF($A71&lt;Inputs!$B$9,0,C$4*Inputs!$B$23*MIN(1,($A71-Inputs!$B$9+1)/(Inputs!$B$10-Inputs!$B$9+1)))*Inputs!$B$4*$A$6-$B71</f>
        <v>2722761.90476191</v>
      </c>
      <c r="J71" s="40" t="n">
        <f aca="false">J70+IF($A71&lt;Inputs!$B$9,0,D$4*Inputs!$B$23*MIN(1,($A71-Inputs!$B$9+1)/(Inputs!$B$10-Inputs!$B$9+1)))*Inputs!$B$4*$A$6-$B71</f>
        <v>10710333.3333333</v>
      </c>
      <c r="K71" s="40" t="n">
        <f aca="false">K70+IF($A71&lt;Inputs!$B$9,0,E$4*Inputs!$B$23*MIN(1,($A71-Inputs!$B$9+1)/(Inputs!$B$10-Inputs!$B$9+1)))*Inputs!$B$4*$A$6-$B71</f>
        <v>18697904.7619048</v>
      </c>
      <c r="L71" s="40" t="n">
        <f aca="false">L70+IF($A71&lt;Inputs!$B$9,0,F$4*Inputs!$B$23*MIN(1,($A71-Inputs!$B$9+1)/(Inputs!$B$10-Inputs!$B$9+1)))*Inputs!$B$4*$A$6-$B71</f>
        <v>26685476.1904762</v>
      </c>
      <c r="M71" s="40" t="n">
        <f aca="false">M70+IF($A71&lt;Inputs!$B$9,0,B$4*Inputs!$B$23*MIN(1,($A71-Inputs!$B$9+1)/(Inputs!$B$10-Inputs!$B$9+1)))*Inputs!$B$4*$A$7-$B71</f>
        <v>-1004771.42857143</v>
      </c>
      <c r="N71" s="40" t="n">
        <f aca="false">N70+IF($A71&lt;Inputs!$B$9,0,C$4*Inputs!$B$23*MIN(1,($A71-Inputs!$B$9+1)/(Inputs!$B$10-Inputs!$B$9+1)))*Inputs!$B$4*$A$7-$B71</f>
        <v>8580314.28571429</v>
      </c>
      <c r="O71" s="40" t="n">
        <f aca="false">O70+IF($A71&lt;Inputs!$B$9,0,D$4*Inputs!$B$23*MIN(1,($A71-Inputs!$B$9+1)/(Inputs!$B$10-Inputs!$B$9+1)))*Inputs!$B$4*$A$7-$B71</f>
        <v>18165400</v>
      </c>
      <c r="P71" s="40" t="n">
        <f aca="false">P70+IF($A71&lt;Inputs!$B$9,0,E$4*Inputs!$B$23*MIN(1,($A71-Inputs!$B$9+1)/(Inputs!$B$10-Inputs!$B$9+1)))*Inputs!$B$4*$A$7-$B71</f>
        <v>27750485.7142857</v>
      </c>
      <c r="Q71" s="40" t="n">
        <f aca="false">Q70+IF($A71&lt;Inputs!$B$9,0,F$4*Inputs!$B$23*MIN(1,($A71-Inputs!$B$9+1)/(Inputs!$B$10-Inputs!$B$9+1)))*Inputs!$B$4*$A$7-$B71</f>
        <v>37335571.4285715</v>
      </c>
      <c r="R71" s="40" t="n">
        <f aca="false">R70+IF($A71&lt;Inputs!$B$9,0,B$4*Inputs!$B$23*MIN(1,($A71-Inputs!$B$9+1)/(Inputs!$B$10-Inputs!$B$9+1)))*Inputs!$B$4*$A$8-$B71</f>
        <v>3255266.66666668</v>
      </c>
      <c r="S71" s="40" t="n">
        <f aca="false">S70+IF($A71&lt;Inputs!$B$9,0,C$4*Inputs!$B$23*MIN(1,($A71-Inputs!$B$9+1)/(Inputs!$B$10-Inputs!$B$9+1)))*Inputs!$B$4*$A$8-$B71</f>
        <v>14437866.6666667</v>
      </c>
      <c r="T71" s="40" t="n">
        <f aca="false">T70+IF($A71&lt;Inputs!$B$9,0,D$4*Inputs!$B$23*MIN(1,($A71-Inputs!$B$9+1)/(Inputs!$B$10-Inputs!$B$9+1)))*Inputs!$B$4*$A$8-$B71</f>
        <v>25620466.6666667</v>
      </c>
      <c r="U71" s="40" t="n">
        <f aca="false">U70+IF($A71&lt;Inputs!$B$9,0,E$4*Inputs!$B$23*MIN(1,($A71-Inputs!$B$9+1)/(Inputs!$B$10-Inputs!$B$9+1)))*Inputs!$B$4*$A$8-$B71</f>
        <v>36803066.6666667</v>
      </c>
      <c r="V71" s="40" t="n">
        <f aca="false">V70+IF($A71&lt;Inputs!$B$9,0,F$4*Inputs!$B$23*MIN(1,($A71-Inputs!$B$9+1)/(Inputs!$B$10-Inputs!$B$9+1)))*Inputs!$B$4*$A$8-$B71</f>
        <v>47985666.6666667</v>
      </c>
    </row>
    <row r="72" customFormat="false" ht="15" hidden="false" customHeight="true" outlineLevel="0" collapsed="false">
      <c r="A72" s="14" t="n">
        <v>60</v>
      </c>
      <c r="B72" s="43" t="n">
        <f aca="false">Cashflow!B64</f>
        <v>395000</v>
      </c>
      <c r="C72" s="40" t="n">
        <f aca="false">C71+IF($A72&lt;Inputs!$B$9,0,B$4*Inputs!$B$23*MIN(1,($A72-Inputs!$B$9+1)/(Inputs!$B$10-Inputs!$B$9+1)))*Inputs!$B$4*$A$5-$B72</f>
        <v>-9549409.52380952</v>
      </c>
      <c r="D72" s="40" t="n">
        <f aca="false">D71+IF($A72&lt;Inputs!$B$9,0,C$4*Inputs!$B$23*MIN(1,($A72-Inputs!$B$9+1)/(Inputs!$B$10-Inputs!$B$9+1)))*Inputs!$B$4*$A$5-$B72</f>
        <v>-3020438.0952381</v>
      </c>
      <c r="E72" s="40" t="n">
        <f aca="false">E71+IF($A72&lt;Inputs!$B$9,0,D$4*Inputs!$B$23*MIN(1,($A72-Inputs!$B$9+1)/(Inputs!$B$10-Inputs!$B$9+1)))*Inputs!$B$4*$A$5-$B72</f>
        <v>3508533.33333333</v>
      </c>
      <c r="F72" s="40" t="n">
        <f aca="false">F71+IF($A72&lt;Inputs!$B$9,0,E$4*Inputs!$B$23*MIN(1,($A72-Inputs!$B$9+1)/(Inputs!$B$10-Inputs!$B$9+1)))*Inputs!$B$4*$A$5-$B72</f>
        <v>10037504.7619048</v>
      </c>
      <c r="G72" s="40" t="n">
        <f aca="false">G71+IF($A72&lt;Inputs!$B$9,0,F$4*Inputs!$B$23*MIN(1,($A72-Inputs!$B$9+1)/(Inputs!$B$10-Inputs!$B$9+1)))*Inputs!$B$4*$A$5-$B72</f>
        <v>16566476.1904762</v>
      </c>
      <c r="H72" s="40" t="n">
        <f aca="false">H71+IF($A72&lt;Inputs!$B$9,0,B$4*Inputs!$B$23*MIN(1,($A72-Inputs!$B$9+1)/(Inputs!$B$10-Inputs!$B$9+1)))*Inputs!$B$4*$A$6-$B72</f>
        <v>-5196761.90476189</v>
      </c>
      <c r="I72" s="40" t="n">
        <f aca="false">I71+IF($A72&lt;Inputs!$B$9,0,C$4*Inputs!$B$23*MIN(1,($A72-Inputs!$B$9+1)/(Inputs!$B$10-Inputs!$B$9+1)))*Inputs!$B$4*$A$6-$B72</f>
        <v>2964452.38095238</v>
      </c>
      <c r="J72" s="40" t="n">
        <f aca="false">J71+IF($A72&lt;Inputs!$B$9,0,D$4*Inputs!$B$23*MIN(1,($A72-Inputs!$B$9+1)/(Inputs!$B$10-Inputs!$B$9+1)))*Inputs!$B$4*$A$6-$B72</f>
        <v>11125666.6666667</v>
      </c>
      <c r="K72" s="40" t="n">
        <f aca="false">K71+IF($A72&lt;Inputs!$B$9,0,E$4*Inputs!$B$23*MIN(1,($A72-Inputs!$B$9+1)/(Inputs!$B$10-Inputs!$B$9+1)))*Inputs!$B$4*$A$6-$B72</f>
        <v>19286880.952381</v>
      </c>
      <c r="L72" s="40" t="n">
        <f aca="false">L71+IF($A72&lt;Inputs!$B$9,0,F$4*Inputs!$B$23*MIN(1,($A72-Inputs!$B$9+1)/(Inputs!$B$10-Inputs!$B$9+1)))*Inputs!$B$4*$A$6-$B72</f>
        <v>27448095.2380953</v>
      </c>
      <c r="M72" s="40" t="n">
        <f aca="false">M71+IF($A72&lt;Inputs!$B$9,0,B$4*Inputs!$B$23*MIN(1,($A72-Inputs!$B$9+1)/(Inputs!$B$10-Inputs!$B$9+1)))*Inputs!$B$4*$A$7-$B72</f>
        <v>-844114.285714287</v>
      </c>
      <c r="N72" s="40" t="n">
        <f aca="false">N71+IF($A72&lt;Inputs!$B$9,0,C$4*Inputs!$B$23*MIN(1,($A72-Inputs!$B$9+1)/(Inputs!$B$10-Inputs!$B$9+1)))*Inputs!$B$4*$A$7-$B72</f>
        <v>8949342.85714286</v>
      </c>
      <c r="O72" s="40" t="n">
        <f aca="false">O71+IF($A72&lt;Inputs!$B$9,0,D$4*Inputs!$B$23*MIN(1,($A72-Inputs!$B$9+1)/(Inputs!$B$10-Inputs!$B$9+1)))*Inputs!$B$4*$A$7-$B72</f>
        <v>18742800</v>
      </c>
      <c r="P72" s="40" t="n">
        <f aca="false">P71+IF($A72&lt;Inputs!$B$9,0,E$4*Inputs!$B$23*MIN(1,($A72-Inputs!$B$9+1)/(Inputs!$B$10-Inputs!$B$9+1)))*Inputs!$B$4*$A$7-$B72</f>
        <v>28536257.1428572</v>
      </c>
      <c r="Q72" s="40" t="n">
        <f aca="false">Q71+IF($A72&lt;Inputs!$B$9,0,F$4*Inputs!$B$23*MIN(1,($A72-Inputs!$B$9+1)/(Inputs!$B$10-Inputs!$B$9+1)))*Inputs!$B$4*$A$7-$B72</f>
        <v>38329714.2857143</v>
      </c>
      <c r="R72" s="40" t="n">
        <f aca="false">R71+IF($A72&lt;Inputs!$B$9,0,B$4*Inputs!$B$23*MIN(1,($A72-Inputs!$B$9+1)/(Inputs!$B$10-Inputs!$B$9+1)))*Inputs!$B$4*$A$8-$B72</f>
        <v>3508533.33333334</v>
      </c>
      <c r="S72" s="40" t="n">
        <f aca="false">S71+IF($A72&lt;Inputs!$B$9,0,C$4*Inputs!$B$23*MIN(1,($A72-Inputs!$B$9+1)/(Inputs!$B$10-Inputs!$B$9+1)))*Inputs!$B$4*$A$8-$B72</f>
        <v>14934233.3333333</v>
      </c>
      <c r="T72" s="40" t="n">
        <f aca="false">T71+IF($A72&lt;Inputs!$B$9,0,D$4*Inputs!$B$23*MIN(1,($A72-Inputs!$B$9+1)/(Inputs!$B$10-Inputs!$B$9+1)))*Inputs!$B$4*$A$8-$B72</f>
        <v>26359933.3333333</v>
      </c>
      <c r="U72" s="40" t="n">
        <f aca="false">U71+IF($A72&lt;Inputs!$B$9,0,E$4*Inputs!$B$23*MIN(1,($A72-Inputs!$B$9+1)/(Inputs!$B$10-Inputs!$B$9+1)))*Inputs!$B$4*$A$8-$B72</f>
        <v>37785633.3333333</v>
      </c>
      <c r="V72" s="40" t="n">
        <f aca="false">V71+IF($A72&lt;Inputs!$B$9,0,F$4*Inputs!$B$23*MIN(1,($A72-Inputs!$B$9+1)/(Inputs!$B$10-Inputs!$B$9+1)))*Inputs!$B$4*$A$8-$B72</f>
        <v>49211333.3333333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10"/>
    <col collapsed="false" customWidth="true" hidden="false" outlineLevel="0" max="2" min="2" style="12" width="16"/>
    <col collapsed="false" customWidth="true" hidden="false" outlineLevel="0" max="3" min="3" style="12" width="14"/>
    <col collapsed="false" customWidth="true" hidden="false" outlineLevel="0" max="4" min="4" style="12" width="16"/>
    <col collapsed="false" customWidth="true" hidden="false" outlineLevel="0" max="5" min="5" style="12" width="18"/>
    <col collapsed="false" customWidth="true" hidden="false" outlineLevel="0" max="7" min="7" style="12" width="55"/>
    <col collapsed="false" customWidth="true" hidden="false" outlineLevel="0" max="8" min="8" style="12" width="16"/>
  </cols>
  <sheetData>
    <row r="1" customFormat="false" ht="17.25" hidden="false" customHeight="true" outlineLevel="0" collapsed="false">
      <c r="A1" s="13" t="s">
        <v>235</v>
      </c>
      <c r="B1" s="14"/>
      <c r="C1" s="14"/>
      <c r="D1" s="14"/>
      <c r="E1" s="14"/>
      <c r="F1" s="14"/>
      <c r="G1" s="14"/>
      <c r="H1" s="14"/>
    </row>
    <row r="2" customFormat="false" ht="15" hidden="false" customHeight="true" outlineLevel="0" collapsed="false">
      <c r="A2" s="22" t="s">
        <v>236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A4" s="14" t="s">
        <v>237</v>
      </c>
      <c r="B4" s="50" t="n">
        <v>20000000</v>
      </c>
      <c r="C4" s="14"/>
      <c r="D4" s="14"/>
      <c r="E4" s="14"/>
      <c r="F4" s="14"/>
      <c r="G4" s="16" t="s">
        <v>238</v>
      </c>
      <c r="H4" s="51" t="n">
        <f aca="false">COUNTIF(D10:D57,"&lt;0")+1</f>
        <v>32</v>
      </c>
    </row>
    <row r="5" customFormat="false" ht="15" hidden="false" customHeight="true" outlineLevel="0" collapsed="false">
      <c r="A5" s="14" t="s">
        <v>239</v>
      </c>
      <c r="B5" s="50" t="n">
        <v>13200</v>
      </c>
      <c r="C5" s="14"/>
      <c r="D5" s="14"/>
      <c r="E5" s="14"/>
      <c r="F5" s="14"/>
      <c r="G5" s="16" t="s">
        <v>240</v>
      </c>
      <c r="H5" s="51" t="n">
        <f aca="false">COUNTIF(E10:E57,"&lt;0")+1</f>
        <v>44</v>
      </c>
    </row>
    <row r="6" customFormat="false" ht="15" hidden="false" customHeight="true" outlineLevel="0" collapsed="false">
      <c r="A6" s="14" t="s">
        <v>241</v>
      </c>
      <c r="B6" s="50" t="n">
        <v>300000</v>
      </c>
      <c r="C6" s="14"/>
      <c r="D6" s="14"/>
      <c r="E6" s="14"/>
      <c r="F6" s="14"/>
      <c r="G6" s="16" t="s">
        <v>242</v>
      </c>
      <c r="H6" s="41" t="n">
        <f aca="false">D57</f>
        <v>17710000</v>
      </c>
    </row>
    <row r="7" customFormat="false" ht="15" hidden="false" customHeight="true" outlineLevel="0" collapsed="false">
      <c r="A7" s="14" t="s">
        <v>243</v>
      </c>
      <c r="B7" s="52" t="n">
        <v>0.7</v>
      </c>
      <c r="C7" s="14"/>
      <c r="D7" s="14"/>
      <c r="E7" s="14"/>
      <c r="F7" s="14"/>
      <c r="G7" s="16" t="s">
        <v>244</v>
      </c>
      <c r="H7" s="41" t="n">
        <f aca="false">E57</f>
        <v>3157000</v>
      </c>
    </row>
    <row r="8" customFormat="false" ht="15" hidden="false" customHeight="true" outlineLevel="0" collapsed="false">
      <c r="A8" s="14"/>
      <c r="B8" s="14"/>
      <c r="C8" s="14"/>
      <c r="D8" s="14"/>
      <c r="E8" s="14"/>
      <c r="F8" s="14"/>
      <c r="G8" s="16" t="s">
        <v>245</v>
      </c>
      <c r="H8" s="41" t="n">
        <f aca="false">D21</f>
        <v>-17030000</v>
      </c>
    </row>
    <row r="9" customFormat="false" ht="26.25" hidden="false" customHeight="true" outlineLevel="0" collapsed="false">
      <c r="A9" s="15" t="s">
        <v>190</v>
      </c>
      <c r="B9" s="15" t="s">
        <v>246</v>
      </c>
      <c r="C9" s="15" t="s">
        <v>247</v>
      </c>
      <c r="D9" s="15" t="s">
        <v>248</v>
      </c>
      <c r="E9" s="15" t="s">
        <v>249</v>
      </c>
      <c r="F9" s="14"/>
      <c r="G9" s="16" t="s">
        <v>250</v>
      </c>
      <c r="H9" s="41" t="n">
        <f aca="false">SUM(B22:B33)</f>
        <v>930</v>
      </c>
    </row>
    <row r="10" customFormat="false" ht="15" hidden="false" customHeight="true" outlineLevel="0" collapsed="false">
      <c r="A10" s="14" t="n">
        <v>1</v>
      </c>
      <c r="B10" s="14" t="n">
        <f aca="false">IF(A10&lt;4,0,MIN(5*(A10-3),105))</f>
        <v>0</v>
      </c>
      <c r="C10" s="40" t="n">
        <f aca="false">IF(A10&lt;=12,$B$4/12,$B$6)</f>
        <v>1666666.66666667</v>
      </c>
      <c r="D10" s="40" t="n">
        <f aca="false">B10*$B$5-C10</f>
        <v>-1666666.66666667</v>
      </c>
      <c r="E10" s="40" t="n">
        <f aca="false">B10*$B$7*$B$5-C10</f>
        <v>-1666666.66666667</v>
      </c>
      <c r="F10" s="14"/>
      <c r="G10" s="14"/>
      <c r="H10" s="14"/>
    </row>
    <row r="11" customFormat="false" ht="15" hidden="false" customHeight="true" outlineLevel="0" collapsed="false">
      <c r="A11" s="14" t="n">
        <v>2</v>
      </c>
      <c r="B11" s="14" t="n">
        <f aca="false">IF(A11&lt;4,0,MIN(5*(A11-3),105))</f>
        <v>0</v>
      </c>
      <c r="C11" s="40" t="n">
        <f aca="false">IF(A11&lt;=12,$B$4/12,$B$6)</f>
        <v>1666666.66666667</v>
      </c>
      <c r="D11" s="40" t="n">
        <f aca="false">D10+B11*$B$5-C11</f>
        <v>-3333333.33333333</v>
      </c>
      <c r="E11" s="40" t="n">
        <f aca="false">E10+B11*$B$7*$B$5-C11</f>
        <v>-3333333.33333333</v>
      </c>
      <c r="F11" s="14"/>
      <c r="G11" s="22" t="s">
        <v>251</v>
      </c>
      <c r="H11" s="14"/>
    </row>
    <row r="12" customFormat="false" ht="15" hidden="false" customHeight="true" outlineLevel="0" collapsed="false">
      <c r="A12" s="14" t="n">
        <v>3</v>
      </c>
      <c r="B12" s="14" t="n">
        <f aca="false">IF(A12&lt;4,0,MIN(5*(A12-3),105))</f>
        <v>0</v>
      </c>
      <c r="C12" s="40" t="n">
        <f aca="false">IF(A12&lt;=12,$B$4/12,$B$6)</f>
        <v>1666666.66666667</v>
      </c>
      <c r="D12" s="40" t="n">
        <f aca="false">D11+B12*$B$5-C12</f>
        <v>-5000000</v>
      </c>
      <c r="E12" s="40" t="n">
        <f aca="false">E11+B12*$B$7*$B$5-C12</f>
        <v>-5000000</v>
      </c>
      <c r="F12" s="14"/>
      <c r="G12" s="14"/>
      <c r="H12" s="14"/>
    </row>
    <row r="13" customFormat="false" ht="15" hidden="false" customHeight="true" outlineLevel="0" collapsed="false">
      <c r="A13" s="14" t="n">
        <v>4</v>
      </c>
      <c r="B13" s="14" t="n">
        <f aca="false">IF(A13&lt;4,0,MIN(5*(A13-3),105))</f>
        <v>5</v>
      </c>
      <c r="C13" s="40" t="n">
        <f aca="false">IF(A13&lt;=12,$B$4/12,$B$6)</f>
        <v>1666666.66666667</v>
      </c>
      <c r="D13" s="40" t="n">
        <f aca="false">D12+B13*$B$5-C13</f>
        <v>-6600666.66666667</v>
      </c>
      <c r="E13" s="40" t="n">
        <f aca="false">E12+B13*$B$7*$B$5-C13</f>
        <v>-6620466.66666667</v>
      </c>
      <c r="F13" s="14"/>
      <c r="G13" s="14"/>
      <c r="H13" s="14"/>
    </row>
    <row r="14" customFormat="false" ht="15" hidden="false" customHeight="true" outlineLevel="0" collapsed="false">
      <c r="A14" s="14" t="n">
        <v>5</v>
      </c>
      <c r="B14" s="14" t="n">
        <f aca="false">IF(A14&lt;4,0,MIN(5*(A14-3),105))</f>
        <v>10</v>
      </c>
      <c r="C14" s="40" t="n">
        <f aca="false">IF(A14&lt;=12,$B$4/12,$B$6)</f>
        <v>1666666.66666667</v>
      </c>
      <c r="D14" s="40" t="n">
        <f aca="false">D13+B14*$B$5-C14</f>
        <v>-8135333.33333333</v>
      </c>
      <c r="E14" s="40" t="n">
        <f aca="false">E13+B14*$B$7*$B$5-C14</f>
        <v>-8194733.33333333</v>
      </c>
      <c r="F14" s="14"/>
      <c r="G14" s="14"/>
      <c r="H14" s="14"/>
    </row>
    <row r="15" customFormat="false" ht="15" hidden="false" customHeight="true" outlineLevel="0" collapsed="false">
      <c r="A15" s="14" t="n">
        <v>6</v>
      </c>
      <c r="B15" s="14" t="n">
        <f aca="false">IF(A15&lt;4,0,MIN(5*(A15-3),105))</f>
        <v>15</v>
      </c>
      <c r="C15" s="40" t="n">
        <f aca="false">IF(A15&lt;=12,$B$4/12,$B$6)</f>
        <v>1666666.66666667</v>
      </c>
      <c r="D15" s="40" t="n">
        <f aca="false">D14+B15*$B$5-C15</f>
        <v>-9604000</v>
      </c>
      <c r="E15" s="40" t="n">
        <f aca="false">E14+B15*$B$7*$B$5-C15</f>
        <v>-9722800</v>
      </c>
      <c r="F15" s="14"/>
      <c r="G15" s="14"/>
      <c r="H15" s="14"/>
    </row>
    <row r="16" customFormat="false" ht="15" hidden="false" customHeight="true" outlineLevel="0" collapsed="false">
      <c r="A16" s="14" t="n">
        <v>7</v>
      </c>
      <c r="B16" s="14" t="n">
        <f aca="false">IF(A16&lt;4,0,MIN(5*(A16-3),105))</f>
        <v>20</v>
      </c>
      <c r="C16" s="40" t="n">
        <f aca="false">IF(A16&lt;=12,$B$4/12,$B$6)</f>
        <v>1666666.66666667</v>
      </c>
      <c r="D16" s="40" t="n">
        <f aca="false">D15+B16*$B$5-C16</f>
        <v>-11006666.6666667</v>
      </c>
      <c r="E16" s="40" t="n">
        <f aca="false">E15+B16*$B$7*$B$5-C16</f>
        <v>-11204666.6666667</v>
      </c>
      <c r="F16" s="14"/>
      <c r="G16" s="14"/>
      <c r="H16" s="14"/>
    </row>
    <row r="17" customFormat="false" ht="15" hidden="false" customHeight="true" outlineLevel="0" collapsed="false">
      <c r="A17" s="14" t="n">
        <v>8</v>
      </c>
      <c r="B17" s="14" t="n">
        <f aca="false">IF(A17&lt;4,0,MIN(5*(A17-3),105))</f>
        <v>25</v>
      </c>
      <c r="C17" s="40" t="n">
        <f aca="false">IF(A17&lt;=12,$B$4/12,$B$6)</f>
        <v>1666666.66666667</v>
      </c>
      <c r="D17" s="40" t="n">
        <f aca="false">D16+B17*$B$5-C17</f>
        <v>-12343333.3333333</v>
      </c>
      <c r="E17" s="40" t="n">
        <f aca="false">E16+B17*$B$7*$B$5-C17</f>
        <v>-12640333.3333333</v>
      </c>
      <c r="F17" s="14"/>
      <c r="G17" s="14"/>
      <c r="H17" s="14"/>
    </row>
    <row r="18" customFormat="false" ht="15" hidden="false" customHeight="true" outlineLevel="0" collapsed="false">
      <c r="A18" s="14" t="n">
        <v>9</v>
      </c>
      <c r="B18" s="14" t="n">
        <f aca="false">IF(A18&lt;4,0,MIN(5*(A18-3),105))</f>
        <v>30</v>
      </c>
      <c r="C18" s="40" t="n">
        <f aca="false">IF(A18&lt;=12,$B$4/12,$B$6)</f>
        <v>1666666.66666667</v>
      </c>
      <c r="D18" s="40" t="n">
        <f aca="false">D17+B18*$B$5-C18</f>
        <v>-13614000</v>
      </c>
      <c r="E18" s="40" t="n">
        <f aca="false">E17+B18*$B$7*$B$5-C18</f>
        <v>-14029800</v>
      </c>
      <c r="F18" s="14"/>
      <c r="G18" s="14"/>
      <c r="H18" s="14"/>
    </row>
    <row r="19" customFormat="false" ht="15" hidden="false" customHeight="true" outlineLevel="0" collapsed="false">
      <c r="A19" s="14" t="n">
        <v>10</v>
      </c>
      <c r="B19" s="14" t="n">
        <f aca="false">IF(A19&lt;4,0,MIN(5*(A19-3),105))</f>
        <v>35</v>
      </c>
      <c r="C19" s="40" t="n">
        <f aca="false">IF(A19&lt;=12,$B$4/12,$B$6)</f>
        <v>1666666.66666667</v>
      </c>
      <c r="D19" s="40" t="n">
        <f aca="false">D18+B19*$B$5-C19</f>
        <v>-14818666.6666667</v>
      </c>
      <c r="E19" s="40" t="n">
        <f aca="false">E18+B19*$B$7*$B$5-C19</f>
        <v>-15373066.6666667</v>
      </c>
      <c r="F19" s="14"/>
      <c r="G19" s="14"/>
      <c r="H19" s="14"/>
    </row>
    <row r="20" customFormat="false" ht="15" hidden="false" customHeight="true" outlineLevel="0" collapsed="false">
      <c r="A20" s="14" t="n">
        <v>11</v>
      </c>
      <c r="B20" s="14" t="n">
        <f aca="false">IF(A20&lt;4,0,MIN(5*(A20-3),105))</f>
        <v>40</v>
      </c>
      <c r="C20" s="40" t="n">
        <f aca="false">IF(A20&lt;=12,$B$4/12,$B$6)</f>
        <v>1666666.66666667</v>
      </c>
      <c r="D20" s="40" t="n">
        <f aca="false">D19+B20*$B$5-C20</f>
        <v>-15957333.3333333</v>
      </c>
      <c r="E20" s="40" t="n">
        <f aca="false">E19+B20*$B$7*$B$5-C20</f>
        <v>-16670133.3333333</v>
      </c>
      <c r="F20" s="14"/>
      <c r="G20" s="14"/>
      <c r="H20" s="14"/>
    </row>
    <row r="21" customFormat="false" ht="15" hidden="false" customHeight="true" outlineLevel="0" collapsed="false">
      <c r="A21" s="14" t="n">
        <v>12</v>
      </c>
      <c r="B21" s="14" t="n">
        <f aca="false">IF(A21&lt;4,0,MIN(5*(A21-3),105))</f>
        <v>45</v>
      </c>
      <c r="C21" s="40" t="n">
        <f aca="false">IF(A21&lt;=12,$B$4/12,$B$6)</f>
        <v>1666666.66666667</v>
      </c>
      <c r="D21" s="40" t="n">
        <f aca="false">D20+B21*$B$5-C21</f>
        <v>-17030000</v>
      </c>
      <c r="E21" s="40" t="n">
        <f aca="false">E20+B21*$B$7*$B$5-C21</f>
        <v>-17921000</v>
      </c>
      <c r="F21" s="14"/>
      <c r="G21" s="14"/>
      <c r="H21" s="14"/>
    </row>
    <row r="22" customFormat="false" ht="15" hidden="false" customHeight="true" outlineLevel="0" collapsed="false">
      <c r="A22" s="14" t="n">
        <v>13</v>
      </c>
      <c r="B22" s="14" t="n">
        <f aca="false">IF(A22&lt;4,0,MIN(5*(A22-3),105))</f>
        <v>50</v>
      </c>
      <c r="C22" s="40" t="n">
        <f aca="false">IF(A22&lt;=12,$B$4/12,$B$6)</f>
        <v>300000</v>
      </c>
      <c r="D22" s="40" t="n">
        <f aca="false">D21+B22*$B$5-C22</f>
        <v>-16670000</v>
      </c>
      <c r="E22" s="40" t="n">
        <f aca="false">E21+B22*$B$7*$B$5-C22</f>
        <v>-17759000</v>
      </c>
      <c r="F22" s="14"/>
      <c r="G22" s="14"/>
      <c r="H22" s="14"/>
    </row>
    <row r="23" customFormat="false" ht="15" hidden="false" customHeight="true" outlineLevel="0" collapsed="false">
      <c r="A23" s="14" t="n">
        <v>14</v>
      </c>
      <c r="B23" s="14" t="n">
        <f aca="false">IF(A23&lt;4,0,MIN(5*(A23-3),105))</f>
        <v>55</v>
      </c>
      <c r="C23" s="40" t="n">
        <f aca="false">IF(A23&lt;=12,$B$4/12,$B$6)</f>
        <v>300000</v>
      </c>
      <c r="D23" s="40" t="n">
        <f aca="false">D22+B23*$B$5-C23</f>
        <v>-16244000</v>
      </c>
      <c r="E23" s="40" t="n">
        <f aca="false">E22+B23*$B$7*$B$5-C23</f>
        <v>-17550800</v>
      </c>
      <c r="F23" s="14"/>
      <c r="G23" s="14"/>
      <c r="H23" s="14"/>
    </row>
    <row r="24" customFormat="false" ht="15" hidden="false" customHeight="true" outlineLevel="0" collapsed="false">
      <c r="A24" s="14" t="n">
        <v>15</v>
      </c>
      <c r="B24" s="14" t="n">
        <f aca="false">IF(A24&lt;4,0,MIN(5*(A24-3),105))</f>
        <v>60</v>
      </c>
      <c r="C24" s="40" t="n">
        <f aca="false">IF(A24&lt;=12,$B$4/12,$B$6)</f>
        <v>300000</v>
      </c>
      <c r="D24" s="40" t="n">
        <f aca="false">D23+B24*$B$5-C24</f>
        <v>-15752000</v>
      </c>
      <c r="E24" s="40" t="n">
        <f aca="false">E23+B24*$B$7*$B$5-C24</f>
        <v>-17296400</v>
      </c>
      <c r="F24" s="14"/>
      <c r="G24" s="14"/>
      <c r="H24" s="14"/>
    </row>
    <row r="25" customFormat="false" ht="15" hidden="false" customHeight="true" outlineLevel="0" collapsed="false">
      <c r="A25" s="14" t="n">
        <v>16</v>
      </c>
      <c r="B25" s="14" t="n">
        <f aca="false">IF(A25&lt;4,0,MIN(5*(A25-3),105))</f>
        <v>65</v>
      </c>
      <c r="C25" s="40" t="n">
        <f aca="false">IF(A25&lt;=12,$B$4/12,$B$6)</f>
        <v>300000</v>
      </c>
      <c r="D25" s="40" t="n">
        <f aca="false">D24+B25*$B$5-C25</f>
        <v>-15194000</v>
      </c>
      <c r="E25" s="40" t="n">
        <f aca="false">E24+B25*$B$7*$B$5-C25</f>
        <v>-16995800</v>
      </c>
      <c r="F25" s="14"/>
      <c r="G25" s="14"/>
      <c r="H25" s="14"/>
    </row>
    <row r="26" customFormat="false" ht="15" hidden="false" customHeight="true" outlineLevel="0" collapsed="false">
      <c r="A26" s="14" t="n">
        <v>17</v>
      </c>
      <c r="B26" s="14" t="n">
        <f aca="false">IF(A26&lt;4,0,MIN(5*(A26-3),105))</f>
        <v>70</v>
      </c>
      <c r="C26" s="40" t="n">
        <f aca="false">IF(A26&lt;=12,$B$4/12,$B$6)</f>
        <v>300000</v>
      </c>
      <c r="D26" s="40" t="n">
        <f aca="false">D25+B26*$B$5-C26</f>
        <v>-14570000</v>
      </c>
      <c r="E26" s="40" t="n">
        <f aca="false">E25+B26*$B$7*$B$5-C26</f>
        <v>-16649000</v>
      </c>
      <c r="F26" s="14"/>
      <c r="G26" s="14"/>
      <c r="H26" s="14"/>
    </row>
    <row r="27" customFormat="false" ht="15" hidden="false" customHeight="true" outlineLevel="0" collapsed="false">
      <c r="A27" s="14" t="n">
        <v>18</v>
      </c>
      <c r="B27" s="14" t="n">
        <f aca="false">IF(A27&lt;4,0,MIN(5*(A27-3),105))</f>
        <v>75</v>
      </c>
      <c r="C27" s="40" t="n">
        <f aca="false">IF(A27&lt;=12,$B$4/12,$B$6)</f>
        <v>300000</v>
      </c>
      <c r="D27" s="40" t="n">
        <f aca="false">D26+B27*$B$5-C27</f>
        <v>-13880000</v>
      </c>
      <c r="E27" s="40" t="n">
        <f aca="false">E26+B27*$B$7*$B$5-C27</f>
        <v>-16256000</v>
      </c>
      <c r="F27" s="14"/>
      <c r="G27" s="14"/>
      <c r="H27" s="14"/>
    </row>
    <row r="28" customFormat="false" ht="15" hidden="false" customHeight="true" outlineLevel="0" collapsed="false">
      <c r="A28" s="14" t="n">
        <v>19</v>
      </c>
      <c r="B28" s="14" t="n">
        <f aca="false">IF(A28&lt;4,0,MIN(5*(A28-3),105))</f>
        <v>80</v>
      </c>
      <c r="C28" s="40" t="n">
        <f aca="false">IF(A28&lt;=12,$B$4/12,$B$6)</f>
        <v>300000</v>
      </c>
      <c r="D28" s="40" t="n">
        <f aca="false">D27+B28*$B$5-C28</f>
        <v>-13124000</v>
      </c>
      <c r="E28" s="40" t="n">
        <f aca="false">E27+B28*$B$7*$B$5-C28</f>
        <v>-15816800</v>
      </c>
      <c r="F28" s="14"/>
      <c r="G28" s="14"/>
      <c r="H28" s="14"/>
    </row>
    <row r="29" customFormat="false" ht="15" hidden="false" customHeight="true" outlineLevel="0" collapsed="false">
      <c r="A29" s="14" t="n">
        <v>20</v>
      </c>
      <c r="B29" s="14" t="n">
        <f aca="false">IF(A29&lt;4,0,MIN(5*(A29-3),105))</f>
        <v>85</v>
      </c>
      <c r="C29" s="40" t="n">
        <f aca="false">IF(A29&lt;=12,$B$4/12,$B$6)</f>
        <v>300000</v>
      </c>
      <c r="D29" s="40" t="n">
        <f aca="false">D28+B29*$B$5-C29</f>
        <v>-12302000</v>
      </c>
      <c r="E29" s="40" t="n">
        <f aca="false">E28+B29*$B$7*$B$5-C29</f>
        <v>-15331400</v>
      </c>
      <c r="F29" s="14"/>
      <c r="G29" s="14"/>
      <c r="H29" s="14"/>
    </row>
    <row r="30" customFormat="false" ht="15" hidden="false" customHeight="true" outlineLevel="0" collapsed="false">
      <c r="A30" s="14" t="n">
        <v>21</v>
      </c>
      <c r="B30" s="14" t="n">
        <f aca="false">IF(A30&lt;4,0,MIN(5*(A30-3),105))</f>
        <v>90</v>
      </c>
      <c r="C30" s="40" t="n">
        <f aca="false">IF(A30&lt;=12,$B$4/12,$B$6)</f>
        <v>300000</v>
      </c>
      <c r="D30" s="40" t="n">
        <f aca="false">D29+B30*$B$5-C30</f>
        <v>-11414000</v>
      </c>
      <c r="E30" s="40" t="n">
        <f aca="false">E29+B30*$B$7*$B$5-C30</f>
        <v>-14799800</v>
      </c>
      <c r="F30" s="14"/>
      <c r="G30" s="14"/>
      <c r="H30" s="14"/>
    </row>
    <row r="31" customFormat="false" ht="15" hidden="false" customHeight="true" outlineLevel="0" collapsed="false">
      <c r="A31" s="14" t="n">
        <v>22</v>
      </c>
      <c r="B31" s="14" t="n">
        <f aca="false">IF(A31&lt;4,0,MIN(5*(A31-3),105))</f>
        <v>95</v>
      </c>
      <c r="C31" s="40" t="n">
        <f aca="false">IF(A31&lt;=12,$B$4/12,$B$6)</f>
        <v>300000</v>
      </c>
      <c r="D31" s="40" t="n">
        <f aca="false">D30+B31*$B$5-C31</f>
        <v>-10460000</v>
      </c>
      <c r="E31" s="40" t="n">
        <f aca="false">E30+B31*$B$7*$B$5-C31</f>
        <v>-14222000</v>
      </c>
      <c r="F31" s="14"/>
      <c r="G31" s="14"/>
      <c r="H31" s="14"/>
    </row>
    <row r="32" customFormat="false" ht="15" hidden="false" customHeight="true" outlineLevel="0" collapsed="false">
      <c r="A32" s="14" t="n">
        <v>23</v>
      </c>
      <c r="B32" s="14" t="n">
        <f aca="false">IF(A32&lt;4,0,MIN(5*(A32-3),105))</f>
        <v>100</v>
      </c>
      <c r="C32" s="40" t="n">
        <f aca="false">IF(A32&lt;=12,$B$4/12,$B$6)</f>
        <v>300000</v>
      </c>
      <c r="D32" s="40" t="n">
        <f aca="false">D31+B32*$B$5-C32</f>
        <v>-9440000</v>
      </c>
      <c r="E32" s="40" t="n">
        <f aca="false">E31+B32*$B$7*$B$5-C32</f>
        <v>-13598000</v>
      </c>
      <c r="F32" s="14"/>
      <c r="G32" s="14"/>
      <c r="H32" s="14"/>
    </row>
    <row r="33" customFormat="false" ht="15" hidden="false" customHeight="true" outlineLevel="0" collapsed="false">
      <c r="A33" s="14" t="n">
        <v>24</v>
      </c>
      <c r="B33" s="14" t="n">
        <f aca="false">IF(A33&lt;4,0,MIN(5*(A33-3),105))</f>
        <v>105</v>
      </c>
      <c r="C33" s="40" t="n">
        <f aca="false">IF(A33&lt;=12,$B$4/12,$B$6)</f>
        <v>300000</v>
      </c>
      <c r="D33" s="40" t="n">
        <f aca="false">D32+B33*$B$5-C33</f>
        <v>-8354000</v>
      </c>
      <c r="E33" s="40" t="n">
        <f aca="false">E32+B33*$B$7*$B$5-C33</f>
        <v>-12927800</v>
      </c>
      <c r="F33" s="14"/>
      <c r="G33" s="14"/>
      <c r="H33" s="14"/>
    </row>
    <row r="34" customFormat="false" ht="15" hidden="false" customHeight="true" outlineLevel="0" collapsed="false">
      <c r="A34" s="14" t="n">
        <v>25</v>
      </c>
      <c r="B34" s="14" t="n">
        <f aca="false">IF(A34&lt;4,0,MIN(5*(A34-3),105))</f>
        <v>105</v>
      </c>
      <c r="C34" s="40" t="n">
        <f aca="false">IF(A34&lt;=12,$B$4/12,$B$6)</f>
        <v>300000</v>
      </c>
      <c r="D34" s="40" t="n">
        <f aca="false">D33+B34*$B$5-C34</f>
        <v>-7268000</v>
      </c>
      <c r="E34" s="40" t="n">
        <f aca="false">E33+B34*$B$7*$B$5-C34</f>
        <v>-12257600</v>
      </c>
      <c r="F34" s="14"/>
      <c r="G34" s="14"/>
      <c r="H34" s="14"/>
    </row>
    <row r="35" customFormat="false" ht="15" hidden="false" customHeight="true" outlineLevel="0" collapsed="false">
      <c r="A35" s="14" t="n">
        <v>26</v>
      </c>
      <c r="B35" s="14" t="n">
        <f aca="false">IF(A35&lt;4,0,MIN(5*(A35-3),105))</f>
        <v>105</v>
      </c>
      <c r="C35" s="40" t="n">
        <f aca="false">IF(A35&lt;=12,$B$4/12,$B$6)</f>
        <v>300000</v>
      </c>
      <c r="D35" s="40" t="n">
        <f aca="false">D34+B35*$B$5-C35</f>
        <v>-6182000</v>
      </c>
      <c r="E35" s="40" t="n">
        <f aca="false">E34+B35*$B$7*$B$5-C35</f>
        <v>-11587400</v>
      </c>
      <c r="F35" s="14"/>
      <c r="G35" s="14"/>
      <c r="H35" s="14"/>
    </row>
    <row r="36" customFormat="false" ht="15" hidden="false" customHeight="true" outlineLevel="0" collapsed="false">
      <c r="A36" s="14" t="n">
        <v>27</v>
      </c>
      <c r="B36" s="14" t="n">
        <f aca="false">IF(A36&lt;4,0,MIN(5*(A36-3),105))</f>
        <v>105</v>
      </c>
      <c r="C36" s="40" t="n">
        <f aca="false">IF(A36&lt;=12,$B$4/12,$B$6)</f>
        <v>300000</v>
      </c>
      <c r="D36" s="40" t="n">
        <f aca="false">D35+B36*$B$5-C36</f>
        <v>-5096000</v>
      </c>
      <c r="E36" s="40" t="n">
        <f aca="false">E35+B36*$B$7*$B$5-C36</f>
        <v>-10917200</v>
      </c>
      <c r="F36" s="14"/>
      <c r="G36" s="14"/>
      <c r="H36" s="14"/>
    </row>
    <row r="37" customFormat="false" ht="15" hidden="false" customHeight="true" outlineLevel="0" collapsed="false">
      <c r="A37" s="14" t="n">
        <v>28</v>
      </c>
      <c r="B37" s="14" t="n">
        <f aca="false">IF(A37&lt;4,0,MIN(5*(A37-3),105))</f>
        <v>105</v>
      </c>
      <c r="C37" s="40" t="n">
        <f aca="false">IF(A37&lt;=12,$B$4/12,$B$6)</f>
        <v>300000</v>
      </c>
      <c r="D37" s="40" t="n">
        <f aca="false">D36+B37*$B$5-C37</f>
        <v>-4010000</v>
      </c>
      <c r="E37" s="40" t="n">
        <f aca="false">E36+B37*$B$7*$B$5-C37</f>
        <v>-10247000</v>
      </c>
      <c r="F37" s="14"/>
      <c r="G37" s="14"/>
      <c r="H37" s="14"/>
    </row>
    <row r="38" customFormat="false" ht="15" hidden="false" customHeight="true" outlineLevel="0" collapsed="false">
      <c r="A38" s="14" t="n">
        <v>29</v>
      </c>
      <c r="B38" s="14" t="n">
        <f aca="false">IF(A38&lt;4,0,MIN(5*(A38-3),105))</f>
        <v>105</v>
      </c>
      <c r="C38" s="40" t="n">
        <f aca="false">IF(A38&lt;=12,$B$4/12,$B$6)</f>
        <v>300000</v>
      </c>
      <c r="D38" s="40" t="n">
        <f aca="false">D37+B38*$B$5-C38</f>
        <v>-2924000</v>
      </c>
      <c r="E38" s="40" t="n">
        <f aca="false">E37+B38*$B$7*$B$5-C38</f>
        <v>-9576800</v>
      </c>
      <c r="F38" s="14"/>
      <c r="G38" s="14"/>
      <c r="H38" s="14"/>
    </row>
    <row r="39" customFormat="false" ht="15" hidden="false" customHeight="true" outlineLevel="0" collapsed="false">
      <c r="A39" s="14" t="n">
        <v>30</v>
      </c>
      <c r="B39" s="14" t="n">
        <f aca="false">IF(A39&lt;4,0,MIN(5*(A39-3),105))</f>
        <v>105</v>
      </c>
      <c r="C39" s="40" t="n">
        <f aca="false">IF(A39&lt;=12,$B$4/12,$B$6)</f>
        <v>300000</v>
      </c>
      <c r="D39" s="40" t="n">
        <f aca="false">D38+B39*$B$5-C39</f>
        <v>-1838000</v>
      </c>
      <c r="E39" s="40" t="n">
        <f aca="false">E38+B39*$B$7*$B$5-C39</f>
        <v>-8906600</v>
      </c>
      <c r="F39" s="14"/>
      <c r="G39" s="14"/>
      <c r="H39" s="14"/>
    </row>
    <row r="40" customFormat="false" ht="15" hidden="false" customHeight="true" outlineLevel="0" collapsed="false">
      <c r="A40" s="14" t="n">
        <v>31</v>
      </c>
      <c r="B40" s="14" t="n">
        <f aca="false">IF(A40&lt;4,0,MIN(5*(A40-3),105))</f>
        <v>105</v>
      </c>
      <c r="C40" s="40" t="n">
        <f aca="false">IF(A40&lt;=12,$B$4/12,$B$6)</f>
        <v>300000</v>
      </c>
      <c r="D40" s="40" t="n">
        <f aca="false">D39+B40*$B$5-C40</f>
        <v>-751999.999999996</v>
      </c>
      <c r="E40" s="40" t="n">
        <f aca="false">E39+B40*$B$7*$B$5-C40</f>
        <v>-8236400</v>
      </c>
      <c r="F40" s="14"/>
      <c r="G40" s="14"/>
      <c r="H40" s="14"/>
    </row>
    <row r="41" customFormat="false" ht="15" hidden="false" customHeight="true" outlineLevel="0" collapsed="false">
      <c r="A41" s="14" t="n">
        <v>32</v>
      </c>
      <c r="B41" s="14" t="n">
        <f aca="false">IF(A41&lt;4,0,MIN(5*(A41-3),105))</f>
        <v>105</v>
      </c>
      <c r="C41" s="40" t="n">
        <f aca="false">IF(A41&lt;=12,$B$4/12,$B$6)</f>
        <v>300000</v>
      </c>
      <c r="D41" s="40" t="n">
        <f aca="false">D40+B41*$B$5-C41</f>
        <v>334000.000000004</v>
      </c>
      <c r="E41" s="40" t="n">
        <f aca="false">E40+B41*$B$7*$B$5-C41</f>
        <v>-7566200</v>
      </c>
      <c r="F41" s="14"/>
      <c r="G41" s="14"/>
      <c r="H41" s="14"/>
    </row>
    <row r="42" customFormat="false" ht="15" hidden="false" customHeight="true" outlineLevel="0" collapsed="false">
      <c r="A42" s="14" t="n">
        <v>33</v>
      </c>
      <c r="B42" s="14" t="n">
        <f aca="false">IF(A42&lt;4,0,MIN(5*(A42-3),105))</f>
        <v>105</v>
      </c>
      <c r="C42" s="40" t="n">
        <f aca="false">IF(A42&lt;=12,$B$4/12,$B$6)</f>
        <v>300000</v>
      </c>
      <c r="D42" s="40" t="n">
        <f aca="false">D41+B42*$B$5-C42</f>
        <v>1420000</v>
      </c>
      <c r="E42" s="40" t="n">
        <f aca="false">E41+B42*$B$7*$B$5-C42</f>
        <v>-6896000</v>
      </c>
      <c r="F42" s="14"/>
      <c r="G42" s="14"/>
      <c r="H42" s="14"/>
    </row>
    <row r="43" customFormat="false" ht="15" hidden="false" customHeight="true" outlineLevel="0" collapsed="false">
      <c r="A43" s="14" t="n">
        <v>34</v>
      </c>
      <c r="B43" s="14" t="n">
        <f aca="false">IF(A43&lt;4,0,MIN(5*(A43-3),105))</f>
        <v>105</v>
      </c>
      <c r="C43" s="40" t="n">
        <f aca="false">IF(A43&lt;=12,$B$4/12,$B$6)</f>
        <v>300000</v>
      </c>
      <c r="D43" s="40" t="n">
        <f aca="false">D42+B43*$B$5-C43</f>
        <v>2506000</v>
      </c>
      <c r="E43" s="40" t="n">
        <f aca="false">E42+B43*$B$7*$B$5-C43</f>
        <v>-6225800</v>
      </c>
      <c r="F43" s="14"/>
      <c r="G43" s="14"/>
      <c r="H43" s="14"/>
    </row>
    <row r="44" customFormat="false" ht="15" hidden="false" customHeight="true" outlineLevel="0" collapsed="false">
      <c r="A44" s="14" t="n">
        <v>35</v>
      </c>
      <c r="B44" s="14" t="n">
        <f aca="false">IF(A44&lt;4,0,MIN(5*(A44-3),105))</f>
        <v>105</v>
      </c>
      <c r="C44" s="40" t="n">
        <f aca="false">IF(A44&lt;=12,$B$4/12,$B$6)</f>
        <v>300000</v>
      </c>
      <c r="D44" s="40" t="n">
        <f aca="false">D43+B44*$B$5-C44</f>
        <v>3592000</v>
      </c>
      <c r="E44" s="40" t="n">
        <f aca="false">E43+B44*$B$7*$B$5-C44</f>
        <v>-5555600</v>
      </c>
      <c r="F44" s="14"/>
      <c r="G44" s="14"/>
      <c r="H44" s="14"/>
    </row>
    <row r="45" customFormat="false" ht="15" hidden="false" customHeight="true" outlineLevel="0" collapsed="false">
      <c r="A45" s="14" t="n">
        <v>36</v>
      </c>
      <c r="B45" s="14" t="n">
        <f aca="false">IF(A45&lt;4,0,MIN(5*(A45-3),105))</f>
        <v>105</v>
      </c>
      <c r="C45" s="40" t="n">
        <f aca="false">IF(A45&lt;=12,$B$4/12,$B$6)</f>
        <v>300000</v>
      </c>
      <c r="D45" s="40" t="n">
        <f aca="false">D44+B45*$B$5-C45</f>
        <v>4678000</v>
      </c>
      <c r="E45" s="40" t="n">
        <f aca="false">E44+B45*$B$7*$B$5-C45</f>
        <v>-4885400</v>
      </c>
      <c r="F45" s="14"/>
      <c r="G45" s="14"/>
      <c r="H45" s="14"/>
    </row>
    <row r="46" customFormat="false" ht="15" hidden="false" customHeight="true" outlineLevel="0" collapsed="false">
      <c r="A46" s="14" t="n">
        <v>37</v>
      </c>
      <c r="B46" s="14" t="n">
        <f aca="false">IF(A46&lt;4,0,MIN(5*(A46-3),105))</f>
        <v>105</v>
      </c>
      <c r="C46" s="40" t="n">
        <f aca="false">IF(A46&lt;=12,$B$4/12,$B$6)</f>
        <v>300000</v>
      </c>
      <c r="D46" s="40" t="n">
        <f aca="false">D45+B46*$B$5-C46</f>
        <v>5764000</v>
      </c>
      <c r="E46" s="40" t="n">
        <f aca="false">E45+B46*$B$7*$B$5-C46</f>
        <v>-4215200</v>
      </c>
      <c r="F46" s="14"/>
      <c r="G46" s="14"/>
      <c r="H46" s="14"/>
    </row>
    <row r="47" customFormat="false" ht="15" hidden="false" customHeight="true" outlineLevel="0" collapsed="false">
      <c r="A47" s="14" t="n">
        <v>38</v>
      </c>
      <c r="B47" s="14" t="n">
        <f aca="false">IF(A47&lt;4,0,MIN(5*(A47-3),105))</f>
        <v>105</v>
      </c>
      <c r="C47" s="40" t="n">
        <f aca="false">IF(A47&lt;=12,$B$4/12,$B$6)</f>
        <v>300000</v>
      </c>
      <c r="D47" s="40" t="n">
        <f aca="false">D46+B47*$B$5-C47</f>
        <v>6850000</v>
      </c>
      <c r="E47" s="40" t="n">
        <f aca="false">E46+B47*$B$7*$B$5-C47</f>
        <v>-3545000</v>
      </c>
      <c r="F47" s="14"/>
      <c r="G47" s="14"/>
      <c r="H47" s="14"/>
    </row>
    <row r="48" customFormat="false" ht="15" hidden="false" customHeight="true" outlineLevel="0" collapsed="false">
      <c r="A48" s="14" t="n">
        <v>39</v>
      </c>
      <c r="B48" s="14" t="n">
        <f aca="false">IF(A48&lt;4,0,MIN(5*(A48-3),105))</f>
        <v>105</v>
      </c>
      <c r="C48" s="40" t="n">
        <f aca="false">IF(A48&lt;=12,$B$4/12,$B$6)</f>
        <v>300000</v>
      </c>
      <c r="D48" s="40" t="n">
        <f aca="false">D47+B48*$B$5-C48</f>
        <v>7936000</v>
      </c>
      <c r="E48" s="40" t="n">
        <f aca="false">E47+B48*$B$7*$B$5-C48</f>
        <v>-2874800</v>
      </c>
      <c r="F48" s="14"/>
      <c r="G48" s="14"/>
      <c r="H48" s="14"/>
    </row>
    <row r="49" customFormat="false" ht="15" hidden="false" customHeight="true" outlineLevel="0" collapsed="false">
      <c r="A49" s="14" t="n">
        <v>40</v>
      </c>
      <c r="B49" s="14" t="n">
        <f aca="false">IF(A49&lt;4,0,MIN(5*(A49-3),105))</f>
        <v>105</v>
      </c>
      <c r="C49" s="40" t="n">
        <f aca="false">IF(A49&lt;=12,$B$4/12,$B$6)</f>
        <v>300000</v>
      </c>
      <c r="D49" s="40" t="n">
        <f aca="false">D48+B49*$B$5-C49</f>
        <v>9022000</v>
      </c>
      <c r="E49" s="40" t="n">
        <f aca="false">E48+B49*$B$7*$B$5-C49</f>
        <v>-2204600</v>
      </c>
      <c r="F49" s="14"/>
      <c r="G49" s="14"/>
      <c r="H49" s="14"/>
    </row>
    <row r="50" customFormat="false" ht="15" hidden="false" customHeight="true" outlineLevel="0" collapsed="false">
      <c r="A50" s="14" t="n">
        <v>41</v>
      </c>
      <c r="B50" s="14" t="n">
        <f aca="false">IF(A50&lt;4,0,MIN(5*(A50-3),105))</f>
        <v>105</v>
      </c>
      <c r="C50" s="40" t="n">
        <f aca="false">IF(A50&lt;=12,$B$4/12,$B$6)</f>
        <v>300000</v>
      </c>
      <c r="D50" s="40" t="n">
        <f aca="false">D49+B50*$B$5-C50</f>
        <v>10108000</v>
      </c>
      <c r="E50" s="40" t="n">
        <f aca="false">E49+B50*$B$7*$B$5-C50</f>
        <v>-1534400</v>
      </c>
      <c r="F50" s="14"/>
      <c r="G50" s="14"/>
      <c r="H50" s="14"/>
    </row>
    <row r="51" customFormat="false" ht="15" hidden="false" customHeight="true" outlineLevel="0" collapsed="false">
      <c r="A51" s="14" t="n">
        <v>42</v>
      </c>
      <c r="B51" s="14" t="n">
        <f aca="false">IF(A51&lt;4,0,MIN(5*(A51-3),105))</f>
        <v>105</v>
      </c>
      <c r="C51" s="40" t="n">
        <f aca="false">IF(A51&lt;=12,$B$4/12,$B$6)</f>
        <v>300000</v>
      </c>
      <c r="D51" s="40" t="n">
        <f aca="false">D50+B51*$B$5-C51</f>
        <v>11194000</v>
      </c>
      <c r="E51" s="40" t="n">
        <f aca="false">E50+B51*$B$7*$B$5-C51</f>
        <v>-864199.999999996</v>
      </c>
      <c r="F51" s="14"/>
      <c r="G51" s="14"/>
      <c r="H51" s="14"/>
    </row>
    <row r="52" customFormat="false" ht="15" hidden="false" customHeight="true" outlineLevel="0" collapsed="false">
      <c r="A52" s="14" t="n">
        <v>43</v>
      </c>
      <c r="B52" s="14" t="n">
        <f aca="false">IF(A52&lt;4,0,MIN(5*(A52-3),105))</f>
        <v>105</v>
      </c>
      <c r="C52" s="40" t="n">
        <f aca="false">IF(A52&lt;=12,$B$4/12,$B$6)</f>
        <v>300000</v>
      </c>
      <c r="D52" s="40" t="n">
        <f aca="false">D51+B52*$B$5-C52</f>
        <v>12280000</v>
      </c>
      <c r="E52" s="40" t="n">
        <f aca="false">E51+B52*$B$7*$B$5-C52</f>
        <v>-193999.999999996</v>
      </c>
      <c r="F52" s="14"/>
      <c r="G52" s="14"/>
      <c r="H52" s="14"/>
    </row>
    <row r="53" customFormat="false" ht="15" hidden="false" customHeight="true" outlineLevel="0" collapsed="false">
      <c r="A53" s="14" t="n">
        <v>44</v>
      </c>
      <c r="B53" s="14" t="n">
        <f aca="false">IF(A53&lt;4,0,MIN(5*(A53-3),105))</f>
        <v>105</v>
      </c>
      <c r="C53" s="40" t="n">
        <f aca="false">IF(A53&lt;=12,$B$4/12,$B$6)</f>
        <v>300000</v>
      </c>
      <c r="D53" s="40" t="n">
        <f aca="false">D52+B53*$B$5-C53</f>
        <v>13366000</v>
      </c>
      <c r="E53" s="40" t="n">
        <f aca="false">E52+B53*$B$7*$B$5-C53</f>
        <v>476200.000000004</v>
      </c>
      <c r="F53" s="14"/>
      <c r="G53" s="14"/>
      <c r="H53" s="14"/>
    </row>
    <row r="54" customFormat="false" ht="15" hidden="false" customHeight="true" outlineLevel="0" collapsed="false">
      <c r="A54" s="14" t="n">
        <v>45</v>
      </c>
      <c r="B54" s="14" t="n">
        <f aca="false">IF(A54&lt;4,0,MIN(5*(A54-3),105))</f>
        <v>105</v>
      </c>
      <c r="C54" s="40" t="n">
        <f aca="false">IF(A54&lt;=12,$B$4/12,$B$6)</f>
        <v>300000</v>
      </c>
      <c r="D54" s="40" t="n">
        <f aca="false">D53+B54*$B$5-C54</f>
        <v>14452000</v>
      </c>
      <c r="E54" s="40" t="n">
        <f aca="false">E53+B54*$B$7*$B$5-C54</f>
        <v>1146400</v>
      </c>
      <c r="F54" s="14"/>
      <c r="G54" s="14"/>
      <c r="H54" s="14"/>
    </row>
    <row r="55" customFormat="false" ht="15" hidden="false" customHeight="true" outlineLevel="0" collapsed="false">
      <c r="A55" s="14" t="n">
        <v>46</v>
      </c>
      <c r="B55" s="14" t="n">
        <f aca="false">IF(A55&lt;4,0,MIN(5*(A55-3),105))</f>
        <v>105</v>
      </c>
      <c r="C55" s="40" t="n">
        <f aca="false">IF(A55&lt;=12,$B$4/12,$B$6)</f>
        <v>300000</v>
      </c>
      <c r="D55" s="40" t="n">
        <f aca="false">D54+B55*$B$5-C55</f>
        <v>15538000</v>
      </c>
      <c r="E55" s="40" t="n">
        <f aca="false">E54+B55*$B$7*$B$5-C55</f>
        <v>1816600</v>
      </c>
      <c r="F55" s="14"/>
      <c r="G55" s="14"/>
      <c r="H55" s="14"/>
    </row>
    <row r="56" customFormat="false" ht="15" hidden="false" customHeight="true" outlineLevel="0" collapsed="false">
      <c r="A56" s="14" t="n">
        <v>47</v>
      </c>
      <c r="B56" s="14" t="n">
        <f aca="false">IF(A56&lt;4,0,MIN(5*(A56-3),105))</f>
        <v>105</v>
      </c>
      <c r="C56" s="40" t="n">
        <f aca="false">IF(A56&lt;=12,$B$4/12,$B$6)</f>
        <v>300000</v>
      </c>
      <c r="D56" s="40" t="n">
        <f aca="false">D55+B56*$B$5-C56</f>
        <v>16624000</v>
      </c>
      <c r="E56" s="40" t="n">
        <f aca="false">E55+B56*$B$7*$B$5-C56</f>
        <v>2486800</v>
      </c>
      <c r="F56" s="14"/>
      <c r="G56" s="14"/>
      <c r="H56" s="14"/>
    </row>
    <row r="57" customFormat="false" ht="15" hidden="false" customHeight="true" outlineLevel="0" collapsed="false">
      <c r="A57" s="14" t="n">
        <v>48</v>
      </c>
      <c r="B57" s="14" t="n">
        <f aca="false">IF(A57&lt;4,0,MIN(5*(A57-3),105))</f>
        <v>105</v>
      </c>
      <c r="C57" s="40" t="n">
        <f aca="false">IF(A57&lt;=12,$B$4/12,$B$6)</f>
        <v>300000</v>
      </c>
      <c r="D57" s="40" t="n">
        <f aca="false">D56+B57*$B$5-C57</f>
        <v>17710000</v>
      </c>
      <c r="E57" s="40" t="n">
        <f aca="false">E56+B57*$B$7*$B$5-C57</f>
        <v>3157000</v>
      </c>
      <c r="F57" s="14"/>
      <c r="G57" s="14"/>
      <c r="H5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2026-10-27T08:21:48Z</dcterms:created>
  <dc:creator>openpyxl</dc:creator>
  <dc:description/>
  <dc:language>en-US</dc:language>
  <cp:lastModifiedBy/>
  <dcterms:modified xsi:type="dcterms:W3CDTF">2026-10-27T10:21:09Z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